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原桌面\灿态WMS与RCS对接討論\API SPEC\"/>
    </mc:Choice>
  </mc:AlternateContent>
  <xr:revisionPtr revIDLastSave="0" documentId="13_ncr:1_{9B7F9436-81C7-4AAF-996A-6B88E34100B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Function" sheetId="1" r:id="rId1"/>
    <sheet name="Function Spec" sheetId="2" r:id="rId2"/>
    <sheet name="A01-B01範本" sheetId="12" r:id="rId3"/>
    <sheet name="應答" sheetId="10" r:id="rId4"/>
    <sheet name="任務狀態" sheetId="7" r:id="rId5"/>
    <sheet name="task_return_msg" sheetId="13" r:id="rId6"/>
    <sheet name="Job_Name(任務分類)" sheetId="6" r:id="rId7"/>
    <sheet name="任務設定" sheetId="11" r:id="rId8"/>
    <sheet name="燦泰對接RCS API" sheetId="8" state="hidden" r:id="rId9"/>
    <sheet name="API分類" sheetId="9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11" l="1"/>
  <c r="B9" i="11"/>
  <c r="B21" i="11"/>
  <c r="B20" i="11"/>
  <c r="B19" i="11"/>
  <c r="B8" i="11"/>
  <c r="B18" i="11"/>
  <c r="B17" i="11"/>
  <c r="B7" i="11"/>
  <c r="B16" i="11"/>
  <c r="B6" i="11"/>
  <c r="B15" i="11"/>
  <c r="B14" i="11"/>
  <c r="B13" i="11"/>
  <c r="B12" i="11"/>
  <c r="B11" i="11"/>
  <c r="B5" i="11"/>
  <c r="B10" i="11" l="1"/>
  <c r="B4" i="11"/>
  <c r="B3" i="11"/>
</calcChain>
</file>

<file path=xl/sharedStrings.xml><?xml version="1.0" encoding="utf-8"?>
<sst xmlns="http://schemas.openxmlformats.org/spreadsheetml/2006/main" count="673" uniqueCount="355">
  <si>
    <t>Seq = YYYYMMDDHH24MISSNNN</t>
    <phoneticPr fontId="1" type="noConversion"/>
  </si>
  <si>
    <t>Function代號</t>
    <phoneticPr fontId="1" type="noConversion"/>
  </si>
  <si>
    <t>說明</t>
    <phoneticPr fontId="1" type="noConversion"/>
  </si>
  <si>
    <t>A01</t>
    <phoneticPr fontId="1" type="noConversion"/>
  </si>
  <si>
    <t>WMS</t>
    <phoneticPr fontId="1" type="noConversion"/>
  </si>
  <si>
    <t xml:space="preserve">2. Seq </t>
    <phoneticPr fontId="1" type="noConversion"/>
  </si>
  <si>
    <t>3. Return Code S/F</t>
    <phoneticPr fontId="1" type="noConversion"/>
  </si>
  <si>
    <t>4. Return Message</t>
    <phoneticPr fontId="1" type="noConversion"/>
  </si>
  <si>
    <t>9. Priority</t>
    <phoneticPr fontId="1" type="noConversion"/>
  </si>
  <si>
    <t>2. Seq</t>
    <phoneticPr fontId="1" type="noConversion"/>
  </si>
  <si>
    <t>B01</t>
    <phoneticPr fontId="1" type="noConversion"/>
  </si>
  <si>
    <t>AGV</t>
    <phoneticPr fontId="1" type="noConversion"/>
  </si>
  <si>
    <t>B03</t>
    <phoneticPr fontId="1" type="noConversion"/>
  </si>
  <si>
    <t>參數名</t>
  </si>
  <si>
    <t>必須欄位</t>
  </si>
  <si>
    <t>說明</t>
  </si>
  <si>
    <t>V</t>
    <phoneticPr fontId="1" type="noConversion"/>
  </si>
  <si>
    <t>將運送命令給AGV系統</t>
  </si>
  <si>
    <t>起始儲位</t>
  </si>
  <si>
    <t>料架車編號</t>
  </si>
  <si>
    <t>請求參數</t>
  </si>
  <si>
    <t>Function代號 : A01 指派運送任務</t>
    <phoneticPr fontId="1" type="noConversion"/>
  </si>
  <si>
    <t>參數類型</t>
    <phoneticPr fontId="1" type="noConversion"/>
  </si>
  <si>
    <t>最大長度</t>
    <phoneticPr fontId="1" type="noConversion"/>
  </si>
  <si>
    <t>Ref</t>
    <phoneticPr fontId="1" type="noConversion"/>
  </si>
  <si>
    <t>固定參數</t>
    <phoneticPr fontId="1" type="noConversion"/>
  </si>
  <si>
    <t>Function代號</t>
    <phoneticPr fontId="1" type="noConversion"/>
  </si>
  <si>
    <t>String</t>
    <phoneticPr fontId="1" type="noConversion"/>
  </si>
  <si>
    <t>V</t>
    <phoneticPr fontId="1" type="noConversion"/>
  </si>
  <si>
    <t>function</t>
    <phoneticPr fontId="1" type="noConversion"/>
  </si>
  <si>
    <t>{"function":</t>
    <phoneticPr fontId="1" type="noConversion"/>
  </si>
  <si>
    <t>"A01",</t>
    <phoneticPr fontId="1" type="noConversion"/>
  </si>
  <si>
    <t>Seq</t>
    <phoneticPr fontId="1" type="noConversion"/>
  </si>
  <si>
    <t>YYYYMMDDHH24MISSNNN</t>
    <phoneticPr fontId="1" type="noConversion"/>
  </si>
  <si>
    <t>seq</t>
    <phoneticPr fontId="1" type="noConversion"/>
  </si>
  <si>
    <t>"seq":</t>
    <phoneticPr fontId="1" type="noConversion"/>
  </si>
  <si>
    <t>"20211122081500001",</t>
    <phoneticPr fontId="1" type="noConversion"/>
  </si>
  <si>
    <t>請求參數</t>
    <phoneticPr fontId="1" type="noConversion"/>
  </si>
  <si>
    <t>Data</t>
    <phoneticPr fontId="1" type="noConversion"/>
  </si>
  <si>
    <t>任務名稱</t>
    <phoneticPr fontId="1" type="noConversion"/>
  </si>
  <si>
    <r>
      <t>傳入命令有3種類型:
    起始</t>
    </r>
    <r>
      <rPr>
        <sz val="12"/>
        <color rgb="FFFF0000"/>
        <rFont val="微軟正黑體"/>
        <family val="2"/>
        <charset val="136"/>
      </rPr>
      <t>儲位</t>
    </r>
    <r>
      <rPr>
        <sz val="12"/>
        <color theme="1"/>
        <rFont val="微軟正黑體"/>
        <family val="2"/>
        <charset val="136"/>
      </rPr>
      <t xml:space="preserve"> &amp; 目的</t>
    </r>
    <r>
      <rPr>
        <sz val="12"/>
        <color rgb="FF0000FF"/>
        <rFont val="微軟正黑體"/>
        <family val="2"/>
        <charset val="136"/>
      </rPr>
      <t>區域</t>
    </r>
    <r>
      <rPr>
        <sz val="12"/>
        <color theme="1"/>
        <rFont val="微軟正黑體"/>
        <family val="2"/>
        <charset val="136"/>
      </rPr>
      <t xml:space="preserve">
    起始</t>
    </r>
    <r>
      <rPr>
        <sz val="12"/>
        <color rgb="FF0000FF"/>
        <rFont val="微軟正黑體"/>
        <family val="2"/>
        <charset val="136"/>
      </rPr>
      <t>區域</t>
    </r>
    <r>
      <rPr>
        <sz val="12"/>
        <color theme="1"/>
        <rFont val="微軟正黑體"/>
        <family val="2"/>
        <charset val="136"/>
      </rPr>
      <t xml:space="preserve"> &amp; 目的</t>
    </r>
    <r>
      <rPr>
        <sz val="12"/>
        <color rgb="FFFF0000"/>
        <rFont val="微軟正黑體"/>
        <family val="2"/>
        <charset val="136"/>
      </rPr>
      <t>儲位</t>
    </r>
    <r>
      <rPr>
        <sz val="12"/>
        <color theme="1"/>
        <rFont val="微軟正黑體"/>
        <family val="2"/>
        <charset val="136"/>
      </rPr>
      <t xml:space="preserve">
    起始</t>
    </r>
    <r>
      <rPr>
        <sz val="12"/>
        <color rgb="FFFF0000"/>
        <rFont val="微軟正黑體"/>
        <family val="2"/>
        <charset val="136"/>
      </rPr>
      <t>儲位</t>
    </r>
    <r>
      <rPr>
        <sz val="12"/>
        <color theme="1"/>
        <rFont val="微軟正黑體"/>
        <family val="2"/>
        <charset val="136"/>
      </rPr>
      <t xml:space="preserve"> &amp; 目的</t>
    </r>
    <r>
      <rPr>
        <sz val="12"/>
        <color rgb="FFFF0000"/>
        <rFont val="微軟正黑體"/>
        <family val="2"/>
        <charset val="136"/>
      </rPr>
      <t>儲位</t>
    </r>
    <phoneticPr fontId="1" type="noConversion"/>
  </si>
  <si>
    <t>job_name</t>
    <phoneticPr fontId="1" type="noConversion"/>
  </si>
  <si>
    <t>"job_name":</t>
    <phoneticPr fontId="1" type="noConversion"/>
  </si>
  <si>
    <t xml:space="preserve"> </t>
    <phoneticPr fontId="1" type="noConversion"/>
  </si>
  <si>
    <t>start_loc</t>
    <phoneticPr fontId="1" type="noConversion"/>
  </si>
  <si>
    <t>"start_loc":</t>
    <phoneticPr fontId="1" type="noConversion"/>
  </si>
  <si>
    <t>"MB2F-FE-01",</t>
    <phoneticPr fontId="1" type="noConversion"/>
  </si>
  <si>
    <t>起始區域</t>
    <phoneticPr fontId="1" type="noConversion"/>
  </si>
  <si>
    <t>start_area</t>
    <phoneticPr fontId="1" type="noConversion"/>
  </si>
  <si>
    <t>"start_area":</t>
    <phoneticPr fontId="1" type="noConversion"/>
  </si>
  <si>
    <t>"",</t>
    <phoneticPr fontId="1" type="noConversion"/>
  </si>
  <si>
    <t>目的儲位</t>
    <phoneticPr fontId="1" type="noConversion"/>
  </si>
  <si>
    <t>target_loc</t>
    <phoneticPr fontId="1" type="noConversion"/>
  </si>
  <si>
    <t>"target_loc":</t>
    <phoneticPr fontId="1" type="noConversion"/>
  </si>
  <si>
    <t>"",</t>
    <phoneticPr fontId="1" type="noConversion"/>
  </si>
  <si>
    <t>目的區域</t>
    <phoneticPr fontId="1" type="noConversion"/>
  </si>
  <si>
    <t>target_area</t>
    <phoneticPr fontId="1" type="noConversion"/>
  </si>
  <si>
    <t>"target_area":</t>
    <phoneticPr fontId="1" type="noConversion"/>
  </si>
  <si>
    <t>"M4F-FG",</t>
    <phoneticPr fontId="1" type="noConversion"/>
  </si>
  <si>
    <t>car_no</t>
    <phoneticPr fontId="1" type="noConversion"/>
  </si>
  <si>
    <t>"car_no":</t>
    <phoneticPr fontId="1" type="noConversion"/>
  </si>
  <si>
    <t>"FE02",</t>
    <phoneticPr fontId="1" type="noConversion"/>
  </si>
  <si>
    <t>int</t>
    <phoneticPr fontId="1" type="noConversion"/>
  </si>
  <si>
    <t>priority</t>
    <phoneticPr fontId="1" type="noConversion"/>
  </si>
  <si>
    <t>"priority":</t>
    <phoneticPr fontId="1" type="noConversion"/>
  </si>
  <si>
    <t>應答</t>
    <phoneticPr fontId="1" type="noConversion"/>
  </si>
  <si>
    <t>return_code</t>
    <phoneticPr fontId="1" type="noConversion"/>
  </si>
  <si>
    <t>Return Message</t>
    <phoneticPr fontId="1" type="noConversion"/>
  </si>
  <si>
    <t>return_msg</t>
    <phoneticPr fontId="1" type="noConversion"/>
  </si>
  <si>
    <t>"return_code":</t>
    <phoneticPr fontId="1" type="noConversion"/>
  </si>
  <si>
    <t>"S",</t>
    <phoneticPr fontId="1" type="noConversion"/>
  </si>
  <si>
    <t>"return_msg":</t>
    <phoneticPr fontId="1" type="noConversion"/>
  </si>
  <si>
    <t>""}</t>
    <phoneticPr fontId="1" type="noConversion"/>
  </si>
  <si>
    <t>"return_code":</t>
    <phoneticPr fontId="1" type="noConversion"/>
  </si>
  <si>
    <t>"S",</t>
    <phoneticPr fontId="1" type="noConversion"/>
  </si>
  <si>
    <t>料架車編號</t>
    <phoneticPr fontId="1" type="noConversion"/>
  </si>
  <si>
    <t>String</t>
    <phoneticPr fontId="1" type="noConversion"/>
  </si>
  <si>
    <t>car_no</t>
    <phoneticPr fontId="1" type="noConversion"/>
  </si>
  <si>
    <t>"return_msg":</t>
    <phoneticPr fontId="1" type="noConversion"/>
  </si>
  <si>
    <t>"car_no":</t>
    <phoneticPr fontId="1" type="noConversion"/>
  </si>
  <si>
    <t>參數類型</t>
    <phoneticPr fontId="1" type="noConversion"/>
  </si>
  <si>
    <t>最大長度</t>
    <phoneticPr fontId="1" type="noConversion"/>
  </si>
  <si>
    <t>Ref</t>
    <phoneticPr fontId="1" type="noConversion"/>
  </si>
  <si>
    <t>固定參數</t>
    <phoneticPr fontId="1" type="noConversion"/>
  </si>
  <si>
    <t>Function代號</t>
    <phoneticPr fontId="1" type="noConversion"/>
  </si>
  <si>
    <t>V</t>
    <phoneticPr fontId="1" type="noConversion"/>
  </si>
  <si>
    <t>function</t>
    <phoneticPr fontId="1" type="noConversion"/>
  </si>
  <si>
    <t>{"function":</t>
    <phoneticPr fontId="1" type="noConversion"/>
  </si>
  <si>
    <t>Seq</t>
    <phoneticPr fontId="1" type="noConversion"/>
  </si>
  <si>
    <t>YYYYMMDDHH24MISSNNN</t>
    <phoneticPr fontId="1" type="noConversion"/>
  </si>
  <si>
    <t>seq</t>
    <phoneticPr fontId="1" type="noConversion"/>
  </si>
  <si>
    <t>"seq":</t>
    <phoneticPr fontId="1" type="noConversion"/>
  </si>
  <si>
    <t>"20211122081500001",</t>
    <phoneticPr fontId="1" type="noConversion"/>
  </si>
  <si>
    <t>Data</t>
    <phoneticPr fontId="1" type="noConversion"/>
  </si>
  <si>
    <t>"MB2F-FE-01",</t>
    <phoneticPr fontId="1" type="noConversion"/>
  </si>
  <si>
    <t>"FE02",</t>
    <phoneticPr fontId="1" type="noConversion"/>
  </si>
  <si>
    <t>應答</t>
    <phoneticPr fontId="1" type="noConversion"/>
  </si>
  <si>
    <t xml:space="preserve"> </t>
    <phoneticPr fontId="1" type="noConversion"/>
  </si>
  <si>
    <t>return_code</t>
    <phoneticPr fontId="1" type="noConversion"/>
  </si>
  <si>
    <t>Return Message</t>
    <phoneticPr fontId="1" type="noConversion"/>
  </si>
  <si>
    <t>return_msg</t>
    <phoneticPr fontId="1" type="noConversion"/>
  </si>
  <si>
    <t>""}</t>
    <phoneticPr fontId="1" type="noConversion"/>
  </si>
  <si>
    <t>"20211122091500001",</t>
    <phoneticPr fontId="1" type="noConversion"/>
  </si>
  <si>
    <t>Function代號 : B01 依任務更新儲位狀態</t>
    <phoneticPr fontId="1" type="noConversion"/>
  </si>
  <si>
    <t xml:space="preserve">更新命令執行狀態給WMS </t>
    <phoneticPr fontId="1" type="noConversion"/>
  </si>
  <si>
    <t>"B01",</t>
    <phoneticPr fontId="1" type="noConversion"/>
  </si>
  <si>
    <t>起始儲位</t>
    <phoneticPr fontId="1" type="noConversion"/>
  </si>
  <si>
    <t>start_loc</t>
    <phoneticPr fontId="1" type="noConversion"/>
  </si>
  <si>
    <t>"start_loc":</t>
    <phoneticPr fontId="1" type="noConversion"/>
  </si>
  <si>
    <t>目的儲位</t>
    <phoneticPr fontId="1" type="noConversion"/>
  </si>
  <si>
    <t>target_loc</t>
    <phoneticPr fontId="1" type="noConversion"/>
  </si>
  <si>
    <t>"target_loc":</t>
    <phoneticPr fontId="1" type="noConversion"/>
  </si>
  <si>
    <t>"M4F-FG-01",</t>
    <phoneticPr fontId="1" type="noConversion"/>
  </si>
  <si>
    <t>任務名稱</t>
    <phoneticPr fontId="1" type="noConversion"/>
  </si>
  <si>
    <t>job_name</t>
    <phoneticPr fontId="1" type="noConversion"/>
  </si>
  <si>
    <t>"job_name":</t>
    <phoneticPr fontId="1" type="noConversion"/>
  </si>
  <si>
    <t>"前段物料運送",</t>
    <phoneticPr fontId="1" type="noConversion"/>
  </si>
  <si>
    <t>任務狀態</t>
    <phoneticPr fontId="1" type="noConversion"/>
  </si>
  <si>
    <t>job_status</t>
    <phoneticPr fontId="1" type="noConversion"/>
  </si>
  <si>
    <t>"job_status":</t>
    <phoneticPr fontId="1" type="noConversion"/>
  </si>
  <si>
    <t>"運送中"}</t>
    <phoneticPr fontId="1" type="noConversion"/>
  </si>
  <si>
    <t>task_id</t>
    <phoneticPr fontId="1" type="noConversion"/>
  </si>
  <si>
    <t>temp_bin</t>
    <phoneticPr fontId="1" type="noConversion"/>
  </si>
  <si>
    <t>"task_id":</t>
    <phoneticPr fontId="1" type="noConversion"/>
  </si>
  <si>
    <t>"temp_bin":</t>
    <phoneticPr fontId="1" type="noConversion"/>
  </si>
  <si>
    <t>暫放儲位</t>
    <phoneticPr fontId="1" type="noConversion"/>
  </si>
  <si>
    <t>任務編號</t>
    <phoneticPr fontId="1" type="noConversion"/>
  </si>
  <si>
    <t>"M1F-XXXX",</t>
    <phoneticPr fontId="1" type="noConversion"/>
  </si>
  <si>
    <t>"20211122081500001-1",</t>
    <phoneticPr fontId="1" type="noConversion"/>
  </si>
  <si>
    <t>狀態</t>
    <phoneticPr fontId="1" type="noConversion"/>
  </si>
  <si>
    <t>狀態描述</t>
    <phoneticPr fontId="1" type="noConversion"/>
  </si>
  <si>
    <t>"物料運送",</t>
    <phoneticPr fontId="1" type="noConversion"/>
  </si>
  <si>
    <t>RCS接口名称</t>
    <phoneticPr fontId="1" type="noConversion"/>
  </si>
  <si>
    <t>功能名称</t>
    <phoneticPr fontId="1" type="noConversion"/>
  </si>
  <si>
    <t>genAgvSchedulingTask</t>
  </si>
  <si>
    <t>genAgvSchedulingTask</t>
    <phoneticPr fontId="1" type="noConversion"/>
  </si>
  <si>
    <t>上下位</t>
    <phoneticPr fontId="1" type="noConversion"/>
  </si>
  <si>
    <t>下发货架搬运任务单到RCS</t>
    <phoneticPr fontId="1" type="noConversion"/>
  </si>
  <si>
    <t>WMS =&gt; RCS</t>
    <phoneticPr fontId="1" type="noConversion"/>
  </si>
  <si>
    <t>继续执行已经下发的货架搬运任务</t>
    <phoneticPr fontId="1" type="noConversion"/>
  </si>
  <si>
    <t>continueTask</t>
    <phoneticPr fontId="1" type="noConversion"/>
  </si>
  <si>
    <t>接收RCS任务执行通知</t>
    <phoneticPr fontId="1" type="noConversion"/>
  </si>
  <si>
    <t>RCS =&gt; WMS</t>
  </si>
  <si>
    <t>agvCallback</t>
    <phoneticPr fontId="1" type="noConversion"/>
  </si>
  <si>
    <t>bindPodAndBerth</t>
  </si>
  <si>
    <t>bindPodAndBerth</t>
    <phoneticPr fontId="1" type="noConversion"/>
  </si>
  <si>
    <t>queryPodBerthAndMat</t>
  </si>
  <si>
    <t>syncMapDatas</t>
  </si>
  <si>
    <t>warnCallback</t>
  </si>
  <si>
    <t>告警推送通知</t>
  </si>
  <si>
    <t>绑定解绑通知</t>
  </si>
  <si>
    <t>bindNotify</t>
  </si>
  <si>
    <t>項次</t>
    <phoneticPr fontId="1" type="noConversion"/>
  </si>
  <si>
    <t>RCS=&gt;WMS</t>
    <phoneticPr fontId="1" type="noConversion"/>
  </si>
  <si>
    <t>货架与位置绑定、解绑</t>
    <phoneticPr fontId="1" type="noConversion"/>
  </si>
  <si>
    <t>查询货架储位与物料批次关系</t>
    <phoneticPr fontId="1" type="noConversion"/>
  </si>
  <si>
    <t>地图位置信息同步</t>
    <phoneticPr fontId="1" type="noConversion"/>
  </si>
  <si>
    <t>告警推送通知</t>
    <phoneticPr fontId="1" type="noConversion"/>
  </si>
  <si>
    <t>绑定解绑通知</t>
    <phoneticPr fontId="1" type="noConversion"/>
  </si>
  <si>
    <t>queryPodBerthAndMat</t>
    <phoneticPr fontId="1" type="noConversion"/>
  </si>
  <si>
    <t>syncMapDatas</t>
    <phoneticPr fontId="1" type="noConversion"/>
  </si>
  <si>
    <t>warnCallback</t>
    <phoneticPr fontId="1" type="noConversion"/>
  </si>
  <si>
    <t>bindNotify</t>
    <phoneticPr fontId="1" type="noConversion"/>
  </si>
  <si>
    <r>
      <t>分</t>
    </r>
    <r>
      <rPr>
        <sz val="12"/>
        <color rgb="FF000000"/>
        <rFont val="新細明體"/>
        <family val="1"/>
        <charset val="136"/>
      </rPr>
      <t>類</t>
    </r>
  </si>
  <si>
    <r>
      <t>API</t>
    </r>
    <r>
      <rPr>
        <sz val="12"/>
        <color rgb="FF000000"/>
        <rFont val="新細明體"/>
        <family val="1"/>
        <charset val="136"/>
      </rPr>
      <t>代號</t>
    </r>
  </si>
  <si>
    <r>
      <t>API</t>
    </r>
    <r>
      <rPr>
        <sz val="12"/>
        <color rgb="FF000000"/>
        <rFont val="新細明體"/>
        <family val="1"/>
        <charset val="136"/>
      </rPr>
      <t>用途</t>
    </r>
  </si>
  <si>
    <t>主控方</t>
  </si>
  <si>
    <t>控制端</t>
  </si>
  <si>
    <t>生成任務單</t>
  </si>
  <si>
    <t>富鴻網</t>
  </si>
  <si>
    <t>繼續執行任務</t>
  </si>
  <si>
    <t>任務執行通知</t>
  </si>
  <si>
    <t>貨架與位置綁定、解綁</t>
  </si>
  <si>
    <t>stopRobot</t>
  </si>
  <si>
    <r>
      <t>停止</t>
    </r>
    <r>
      <rPr>
        <sz val="12"/>
        <color theme="1"/>
        <rFont val="Candara"/>
        <family val="2"/>
      </rPr>
      <t>AGV</t>
    </r>
  </si>
  <si>
    <t>resumeRobot</t>
  </si>
  <si>
    <r>
      <t>恢復</t>
    </r>
    <r>
      <rPr>
        <sz val="12"/>
        <color theme="1"/>
        <rFont val="Candara"/>
        <family val="2"/>
      </rPr>
      <t>AGV</t>
    </r>
  </si>
  <si>
    <t>查詢端</t>
  </si>
  <si>
    <t>查詢貨架儲位與物料批次關係</t>
  </si>
  <si>
    <r>
      <t>燦泰</t>
    </r>
    <r>
      <rPr>
        <sz val="12"/>
        <color theme="1"/>
        <rFont val="Candara"/>
        <family val="2"/>
      </rPr>
      <t>/</t>
    </r>
    <r>
      <rPr>
        <sz val="12"/>
        <color theme="1"/>
        <rFont val="新細明體"/>
        <family val="1"/>
        <charset val="136"/>
      </rPr>
      <t>富鴻網</t>
    </r>
  </si>
  <si>
    <t>地圖位置信息同步</t>
  </si>
  <si>
    <t>Return Code</t>
    <phoneticPr fontId="1" type="noConversion"/>
  </si>
  <si>
    <t>Return Code分類</t>
    <phoneticPr fontId="1" type="noConversion"/>
  </si>
  <si>
    <t>代號</t>
    <phoneticPr fontId="1" type="noConversion"/>
  </si>
  <si>
    <t>S</t>
    <phoneticPr fontId="1" type="noConversion"/>
  </si>
  <si>
    <t>success</t>
    <phoneticPr fontId="1" type="noConversion"/>
  </si>
  <si>
    <t>F</t>
    <phoneticPr fontId="1" type="noConversion"/>
  </si>
  <si>
    <t>錯誤內容</t>
    <phoneticPr fontId="1" type="noConversion"/>
  </si>
  <si>
    <t>中文</t>
    <phoneticPr fontId="1" type="noConversion"/>
  </si>
  <si>
    <t>英文</t>
    <phoneticPr fontId="1" type="noConversion"/>
  </si>
  <si>
    <t>MCS Job_Name</t>
    <phoneticPr fontId="13" type="noConversion"/>
  </si>
  <si>
    <t>From</t>
    <phoneticPr fontId="1" type="noConversion"/>
  </si>
  <si>
    <t>區域</t>
    <phoneticPr fontId="13" type="noConversion"/>
  </si>
  <si>
    <t>To</t>
    <phoneticPr fontId="1" type="noConversion"/>
  </si>
  <si>
    <t>警示燈</t>
    <phoneticPr fontId="13" type="noConversion"/>
  </si>
  <si>
    <t>備註</t>
    <phoneticPr fontId="1" type="noConversion"/>
  </si>
  <si>
    <t>任務分類(JobName)</t>
    <phoneticPr fontId="1" type="noConversion"/>
  </si>
  <si>
    <t>電梯</t>
    <phoneticPr fontId="13" type="noConversion"/>
  </si>
  <si>
    <t>風淋門</t>
    <phoneticPr fontId="13" type="noConversion"/>
  </si>
  <si>
    <t>升降平台</t>
    <phoneticPr fontId="13" type="noConversion"/>
  </si>
  <si>
    <t>任务开始</t>
    <phoneticPr fontId="1" type="noConversion"/>
  </si>
  <si>
    <t>走出储位</t>
    <phoneticPr fontId="1" type="noConversion"/>
  </si>
  <si>
    <t>任务结束</t>
    <phoneticPr fontId="1" type="noConversion"/>
  </si>
  <si>
    <t>任务单取消</t>
    <phoneticPr fontId="1" type="noConversion"/>
  </si>
  <si>
    <t>到达工做台</t>
    <phoneticPr fontId="1" type="noConversion"/>
  </si>
  <si>
    <t>連結</t>
    <phoneticPr fontId="1" type="noConversion"/>
  </si>
  <si>
    <t>start</t>
    <phoneticPr fontId="1" type="noConversion"/>
  </si>
  <si>
    <t>outbin</t>
    <phoneticPr fontId="1" type="noConversion"/>
  </si>
  <si>
    <t>end</t>
    <phoneticPr fontId="1" type="noConversion"/>
  </si>
  <si>
    <t>canel</t>
    <phoneticPr fontId="1" type="noConversion"/>
  </si>
  <si>
    <t>arrive</t>
    <phoneticPr fontId="1" type="noConversion"/>
  </si>
  <si>
    <t>Function代號 : A05 取消任務</t>
    <phoneticPr fontId="1" type="noConversion"/>
  </si>
  <si>
    <t>試著將User要取消的命令的料架車拋給AGV系統</t>
  </si>
  <si>
    <t>"A05",</t>
    <phoneticPr fontId="1" type="noConversion"/>
  </si>
  <si>
    <t>job_seq</t>
    <phoneticPr fontId="1" type="noConversion"/>
  </si>
  <si>
    <t>"job_seq":</t>
    <phoneticPr fontId="1" type="noConversion"/>
  </si>
  <si>
    <t>"20211122081500001"}</t>
    <phoneticPr fontId="1" type="noConversion"/>
  </si>
  <si>
    <t>Return Code S/F</t>
    <phoneticPr fontId="1" type="noConversion"/>
  </si>
  <si>
    <t>取消類型</t>
    <phoneticPr fontId="1" type="noConversion"/>
  </si>
  <si>
    <t>回庫模式</t>
    <phoneticPr fontId="1" type="noConversion"/>
  </si>
  <si>
    <t xml:space="preserve"> forceCancel 下 1，matterArea=空:會回到起始點</t>
    <phoneticPr fontId="1" type="noConversion"/>
  </si>
  <si>
    <t xml:space="preserve"> forceCancel 下 1，matterArea=儲位編號:會回到指定地點</t>
    <phoneticPr fontId="1" type="noConversion"/>
  </si>
  <si>
    <t>""</t>
    <phoneticPr fontId="1" type="noConversion"/>
  </si>
  <si>
    <t>Function代號 : A06 繼續任務</t>
    <phoneticPr fontId="1" type="noConversion"/>
  </si>
  <si>
    <t>Priority</t>
    <phoneticPr fontId="1" type="noConversion"/>
  </si>
  <si>
    <t>貨架方向</t>
    <phoneticPr fontId="1" type="noConversion"/>
  </si>
  <si>
    <t>"180"}</t>
    <phoneticPr fontId="1" type="noConversion"/>
  </si>
  <si>
    <t>"0",</t>
    <phoneticPr fontId="1" type="noConversion"/>
  </si>
  <si>
    <t xml:space="preserve"> 任务单编号</t>
    <phoneticPr fontId="1" type="noConversion"/>
  </si>
  <si>
    <t>AGV編號</t>
    <phoneticPr fontId="1" type="noConversion"/>
  </si>
  <si>
    <t>試著將User要繼續執行的命令拋給AGV系統</t>
    <phoneticPr fontId="1" type="noConversion"/>
  </si>
  <si>
    <t>"agvcode":</t>
    <phoneticPr fontId="1" type="noConversion"/>
  </si>
  <si>
    <t>"6666"</t>
    <phoneticPr fontId="1" type="noConversion"/>
  </si>
  <si>
    <t>A05</t>
    <phoneticPr fontId="1" type="noConversion"/>
  </si>
  <si>
    <t>取消任務</t>
    <phoneticPr fontId="1" type="noConversion"/>
  </si>
  <si>
    <t>A06</t>
    <phoneticPr fontId="1" type="noConversion"/>
  </si>
  <si>
    <t>"forcecancel"</t>
    <phoneticPr fontId="1" type="noConversion"/>
  </si>
  <si>
    <t>"matterarea"</t>
    <phoneticPr fontId="1" type="noConversion"/>
  </si>
  <si>
    <t>poddir</t>
    <phoneticPr fontId="1" type="noConversion"/>
  </si>
  <si>
    <t>"poddir":</t>
    <phoneticPr fontId="1" type="noConversion"/>
  </si>
  <si>
    <t>agvcode</t>
    <phoneticPr fontId="1" type="noConversion"/>
  </si>
  <si>
    <t>forcecancel</t>
    <phoneticPr fontId="1" type="noConversion"/>
  </si>
  <si>
    <t>matterarea</t>
    <phoneticPr fontId="1" type="noConversion"/>
  </si>
  <si>
    <t>4F</t>
    <phoneticPr fontId="1" type="noConversion"/>
  </si>
  <si>
    <t>2F</t>
    <phoneticPr fontId="1" type="noConversion"/>
  </si>
  <si>
    <t>自動門</t>
    <phoneticPr fontId="13" type="noConversion"/>
  </si>
  <si>
    <t>floor</t>
    <phoneticPr fontId="1" type="noConversion"/>
  </si>
  <si>
    <t>跨樓層</t>
    <phoneticPr fontId="1" type="noConversion"/>
  </si>
  <si>
    <t>同樓層</t>
    <phoneticPr fontId="1" type="noConversion"/>
  </si>
  <si>
    <t>區域名稱</t>
    <phoneticPr fontId="1" type="noConversion"/>
  </si>
  <si>
    <t>1F</t>
    <phoneticPr fontId="1" type="noConversion"/>
  </si>
  <si>
    <t>3F</t>
    <phoneticPr fontId="1" type="noConversion"/>
  </si>
  <si>
    <t>KIT</t>
    <phoneticPr fontId="13" type="noConversion"/>
  </si>
  <si>
    <t>WIP</t>
    <phoneticPr fontId="13" type="noConversion"/>
  </si>
  <si>
    <t>ASY</t>
    <phoneticPr fontId="1" type="noConversion"/>
  </si>
  <si>
    <t>SMT6</t>
    <phoneticPr fontId="13" type="noConversion"/>
  </si>
  <si>
    <t>SMT</t>
    <phoneticPr fontId="13" type="noConversion"/>
  </si>
  <si>
    <t>SMT1</t>
    <phoneticPr fontId="13" type="noConversion"/>
  </si>
  <si>
    <t>SMT2</t>
    <phoneticPr fontId="13" type="noConversion"/>
  </si>
  <si>
    <t>SMT3</t>
    <phoneticPr fontId="13" type="noConversion"/>
  </si>
  <si>
    <t>SMT4</t>
    <phoneticPr fontId="13" type="noConversion"/>
  </si>
  <si>
    <t>SMT5</t>
    <phoneticPr fontId="13" type="noConversion"/>
  </si>
  <si>
    <t>1廠-1F BSI點定義待確認</t>
    <phoneticPr fontId="1" type="noConversion"/>
  </si>
  <si>
    <t>WIP-1</t>
    <phoneticPr fontId="13" type="noConversion"/>
  </si>
  <si>
    <t>WIP-2</t>
    <phoneticPr fontId="13" type="noConversion"/>
  </si>
  <si>
    <t>任務設定</t>
    <phoneticPr fontId="1" type="noConversion"/>
  </si>
  <si>
    <t>{</t>
  </si>
  <si>
    <t xml:space="preserve">  "function": "A01",</t>
  </si>
  <si>
    <t xml:space="preserve">  "seq": "20220412164041928",</t>
  </si>
  <si>
    <t xml:space="preserve">  "job_name": "mutil_floor",</t>
  </si>
  <si>
    <t xml:space="preserve">  "start_loc": "",</t>
  </si>
  <si>
    <t xml:space="preserve">  "start_area": "4F-KIT",</t>
  </si>
  <si>
    <t xml:space="preserve">  "target_loc": "",</t>
  </si>
  <si>
    <t xml:space="preserve">  "target_area": "2F-WIP",</t>
  </si>
  <si>
    <t xml:space="preserve">  "car_no": "300011",</t>
  </si>
  <si>
    <t xml:space="preserve">  "priority": 1,</t>
  </si>
  <si>
    <t xml:space="preserve">  "poddir": ""</t>
  </si>
  <si>
    <t>}</t>
  </si>
  <si>
    <t xml:space="preserve"> if return_code="F"，return_msg="RCS錯誤訊息"</t>
    <phoneticPr fontId="1" type="noConversion"/>
  </si>
  <si>
    <t xml:space="preserve"> 當上位未應答或return code = F時MCS將進行retry機制</t>
    <phoneticPr fontId="1" type="noConversion"/>
  </si>
  <si>
    <t>cancel</t>
    <phoneticPr fontId="1" type="noConversion"/>
  </si>
  <si>
    <t>multi_floor</t>
    <phoneticPr fontId="1" type="noConversion"/>
  </si>
  <si>
    <t>fail</t>
    <phoneticPr fontId="1" type="noConversion"/>
  </si>
  <si>
    <t>入庫區</t>
    <phoneticPr fontId="1" type="noConversion"/>
  </si>
  <si>
    <t>出庫區</t>
    <phoneticPr fontId="1" type="noConversion"/>
  </si>
  <si>
    <t xml:space="preserve">inbound </t>
    <phoneticPr fontId="1" type="noConversion"/>
  </si>
  <si>
    <t>outbound</t>
    <phoneticPr fontId="1" type="noConversion"/>
  </si>
  <si>
    <t>inbound</t>
    <phoneticPr fontId="1" type="noConversion"/>
  </si>
  <si>
    <t>EWHW</t>
    <phoneticPr fontId="1" type="noConversion"/>
  </si>
  <si>
    <t>EWHE</t>
    <phoneticPr fontId="1" type="noConversion"/>
  </si>
  <si>
    <t>"A06",</t>
    <phoneticPr fontId="1" type="noConversion"/>
  </si>
  <si>
    <t>路徑：http://IP:Port/api/mcs/task</t>
    <phoneticPr fontId="1" type="noConversion"/>
  </si>
  <si>
    <t>WMS發起任務單號</t>
    <phoneticPr fontId="1" type="noConversion"/>
  </si>
  <si>
    <t>task</t>
    <phoneticPr fontId="1" type="noConversion"/>
  </si>
  <si>
    <r>
      <t>Function</t>
    </r>
    <r>
      <rPr>
        <sz val="12"/>
        <color theme="0"/>
        <rFont val="新細明體"/>
        <family val="2"/>
      </rPr>
      <t>代號</t>
    </r>
    <phoneticPr fontId="1" type="noConversion"/>
  </si>
  <si>
    <r>
      <rPr>
        <sz val="12"/>
        <color theme="0"/>
        <rFont val="新細明體"/>
        <family val="1"/>
        <charset val="136"/>
      </rPr>
      <t>名稱</t>
    </r>
    <phoneticPr fontId="1" type="noConversion"/>
  </si>
  <si>
    <r>
      <rPr>
        <sz val="12"/>
        <color theme="0"/>
        <rFont val="新細明體"/>
        <family val="1"/>
        <charset val="136"/>
      </rPr>
      <t>發起系統</t>
    </r>
    <phoneticPr fontId="1" type="noConversion"/>
  </si>
  <si>
    <r>
      <rPr>
        <sz val="12"/>
        <color theme="0"/>
        <rFont val="新細明體"/>
        <family val="1"/>
        <charset val="136"/>
      </rPr>
      <t>說明</t>
    </r>
    <phoneticPr fontId="1" type="noConversion"/>
  </si>
  <si>
    <r>
      <rPr>
        <sz val="12"/>
        <color theme="0"/>
        <rFont val="新細明體"/>
        <family val="1"/>
        <charset val="136"/>
      </rPr>
      <t>傳入參數</t>
    </r>
    <phoneticPr fontId="1" type="noConversion"/>
  </si>
  <si>
    <r>
      <rPr>
        <sz val="12"/>
        <color theme="0"/>
        <rFont val="新細明體"/>
        <family val="1"/>
        <charset val="136"/>
      </rPr>
      <t>傳回參數</t>
    </r>
    <phoneticPr fontId="1" type="noConversion"/>
  </si>
  <si>
    <r>
      <rPr>
        <sz val="12"/>
        <color theme="1"/>
        <rFont val="新細明體"/>
        <family val="2"/>
      </rPr>
      <t>指派運送任務</t>
    </r>
    <phoneticPr fontId="1" type="noConversion"/>
  </si>
  <si>
    <r>
      <rPr>
        <sz val="12"/>
        <color theme="1"/>
        <rFont val="新細明體"/>
        <family val="2"/>
      </rPr>
      <t>將運送任務給</t>
    </r>
    <r>
      <rPr>
        <sz val="12"/>
        <color theme="1"/>
        <rFont val="Candara"/>
        <family val="2"/>
      </rPr>
      <t>AGV</t>
    </r>
    <r>
      <rPr>
        <sz val="12"/>
        <color theme="1"/>
        <rFont val="新細明體"/>
        <family val="2"/>
      </rPr>
      <t>系統</t>
    </r>
    <phoneticPr fontId="1" type="noConversion"/>
  </si>
  <si>
    <r>
      <t>1. Function</t>
    </r>
    <r>
      <rPr>
        <sz val="12"/>
        <color theme="1"/>
        <rFont val="新細明體"/>
        <family val="2"/>
      </rPr>
      <t>代號</t>
    </r>
    <phoneticPr fontId="1" type="noConversion"/>
  </si>
  <si>
    <r>
      <rPr>
        <sz val="12"/>
        <color theme="1"/>
        <rFont val="新細明體"/>
        <family val="2"/>
      </rPr>
      <t>傳入命令有</t>
    </r>
    <r>
      <rPr>
        <sz val="12"/>
        <color theme="1"/>
        <rFont val="Candara"/>
        <family val="2"/>
      </rPr>
      <t>3</t>
    </r>
    <r>
      <rPr>
        <sz val="12"/>
        <color theme="1"/>
        <rFont val="新細明體"/>
        <family val="2"/>
      </rPr>
      <t>種類型</t>
    </r>
    <r>
      <rPr>
        <sz val="12"/>
        <color theme="1"/>
        <rFont val="Candara"/>
        <family val="2"/>
      </rPr>
      <t>:</t>
    </r>
  </si>
  <si>
    <r>
      <t xml:space="preserve">3. </t>
    </r>
    <r>
      <rPr>
        <sz val="12"/>
        <color theme="1"/>
        <rFont val="新細明體"/>
        <family val="2"/>
      </rPr>
      <t>任務名稱</t>
    </r>
    <phoneticPr fontId="1" type="noConversion"/>
  </si>
  <si>
    <r>
      <t xml:space="preserve">    </t>
    </r>
    <r>
      <rPr>
        <sz val="12"/>
        <color theme="1"/>
        <rFont val="新細明體"/>
        <family val="2"/>
      </rPr>
      <t>起始儲位</t>
    </r>
    <r>
      <rPr>
        <sz val="12"/>
        <color theme="1"/>
        <rFont val="Candara"/>
        <family val="2"/>
      </rPr>
      <t xml:space="preserve"> &amp; </t>
    </r>
    <r>
      <rPr>
        <sz val="12"/>
        <color theme="1"/>
        <rFont val="新細明體"/>
        <family val="2"/>
      </rPr>
      <t>目的區域</t>
    </r>
  </si>
  <si>
    <r>
      <t xml:space="preserve">4. </t>
    </r>
    <r>
      <rPr>
        <sz val="12"/>
        <color theme="1"/>
        <rFont val="新細明體"/>
        <family val="2"/>
      </rPr>
      <t>起始樓層</t>
    </r>
    <phoneticPr fontId="1" type="noConversion"/>
  </si>
  <si>
    <r>
      <t xml:space="preserve">    </t>
    </r>
    <r>
      <rPr>
        <sz val="12"/>
        <color theme="1"/>
        <rFont val="新細明體"/>
        <family val="2"/>
      </rPr>
      <t>起始區域</t>
    </r>
    <r>
      <rPr>
        <sz val="12"/>
        <color theme="1"/>
        <rFont val="Candara"/>
        <family val="2"/>
      </rPr>
      <t xml:space="preserve"> &amp; </t>
    </r>
    <r>
      <rPr>
        <sz val="12"/>
        <color theme="1"/>
        <rFont val="新細明體"/>
        <family val="2"/>
      </rPr>
      <t>目的儲位</t>
    </r>
  </si>
  <si>
    <r>
      <t xml:space="preserve">5. </t>
    </r>
    <r>
      <rPr>
        <sz val="12"/>
        <color theme="1"/>
        <rFont val="新細明體"/>
        <family val="2"/>
      </rPr>
      <t>起始儲位</t>
    </r>
    <phoneticPr fontId="1" type="noConversion"/>
  </si>
  <si>
    <r>
      <t xml:space="preserve">    </t>
    </r>
    <r>
      <rPr>
        <sz val="12"/>
        <color theme="1"/>
        <rFont val="新細明體"/>
        <family val="2"/>
      </rPr>
      <t>起始儲位</t>
    </r>
    <r>
      <rPr>
        <sz val="12"/>
        <color theme="1"/>
        <rFont val="Candara"/>
        <family val="2"/>
      </rPr>
      <t xml:space="preserve"> &amp; </t>
    </r>
    <r>
      <rPr>
        <sz val="12"/>
        <color theme="1"/>
        <rFont val="新細明體"/>
        <family val="2"/>
      </rPr>
      <t>目的儲位</t>
    </r>
  </si>
  <si>
    <r>
      <t xml:space="preserve">6. </t>
    </r>
    <r>
      <rPr>
        <sz val="12"/>
        <color theme="1"/>
        <rFont val="新細明體"/>
        <family val="2"/>
      </rPr>
      <t>目的樓層</t>
    </r>
    <phoneticPr fontId="1" type="noConversion"/>
  </si>
  <si>
    <r>
      <t xml:space="preserve">7. </t>
    </r>
    <r>
      <rPr>
        <sz val="12"/>
        <color theme="1"/>
        <rFont val="新細明體"/>
        <family val="2"/>
      </rPr>
      <t>目的儲位</t>
    </r>
    <phoneticPr fontId="1" type="noConversion"/>
  </si>
  <si>
    <r>
      <t xml:space="preserve">8. </t>
    </r>
    <r>
      <rPr>
        <sz val="12"/>
        <color theme="1"/>
        <rFont val="新細明體"/>
        <family val="2"/>
      </rPr>
      <t>料架車編號</t>
    </r>
    <phoneticPr fontId="1" type="noConversion"/>
  </si>
  <si>
    <r>
      <t>10.</t>
    </r>
    <r>
      <rPr>
        <sz val="12"/>
        <color theme="1"/>
        <rFont val="新細明體"/>
        <family val="2"/>
      </rPr>
      <t>貨架方向</t>
    </r>
    <phoneticPr fontId="1" type="noConversion"/>
  </si>
  <si>
    <r>
      <rPr>
        <sz val="12"/>
        <color theme="1"/>
        <rFont val="新細明體"/>
        <family val="2"/>
      </rPr>
      <t>取消任務</t>
    </r>
    <phoneticPr fontId="1" type="noConversion"/>
  </si>
  <si>
    <r>
      <rPr>
        <sz val="12"/>
        <color theme="1"/>
        <rFont val="新細明體"/>
        <family val="2"/>
      </rPr>
      <t>試著將</t>
    </r>
    <r>
      <rPr>
        <sz val="12"/>
        <color theme="1"/>
        <rFont val="Candara"/>
        <family val="2"/>
      </rPr>
      <t>User</t>
    </r>
    <r>
      <rPr>
        <sz val="12"/>
        <color theme="1"/>
        <rFont val="新細明體"/>
        <family val="2"/>
      </rPr>
      <t>要取消的命令的料架車拋給</t>
    </r>
    <r>
      <rPr>
        <sz val="12"/>
        <color theme="1"/>
        <rFont val="Candara"/>
        <family val="2"/>
      </rPr>
      <t>AGV</t>
    </r>
    <r>
      <rPr>
        <sz val="12"/>
        <color theme="1"/>
        <rFont val="新細明體"/>
        <family val="2"/>
      </rPr>
      <t>系統</t>
    </r>
    <phoneticPr fontId="1" type="noConversion"/>
  </si>
  <si>
    <r>
      <rPr>
        <sz val="12"/>
        <color theme="1"/>
        <rFont val="新細明體"/>
        <family val="2"/>
      </rPr>
      <t>如果</t>
    </r>
    <r>
      <rPr>
        <sz val="12"/>
        <color theme="1"/>
        <rFont val="Candara"/>
        <family val="2"/>
      </rPr>
      <t>AGV</t>
    </r>
    <r>
      <rPr>
        <sz val="12"/>
        <color theme="1"/>
        <rFont val="新細明體"/>
        <family val="2"/>
      </rPr>
      <t>系統無法將此命令取消，需要回傳錯誤</t>
    </r>
    <phoneticPr fontId="1" type="noConversion"/>
  </si>
  <si>
    <r>
      <t xml:space="preserve">3. </t>
    </r>
    <r>
      <rPr>
        <sz val="12"/>
        <color theme="1"/>
        <rFont val="新細明體"/>
        <family val="2"/>
      </rPr>
      <t>料架車編號</t>
    </r>
    <phoneticPr fontId="1" type="noConversion"/>
  </si>
  <si>
    <r>
      <t xml:space="preserve">4. </t>
    </r>
    <r>
      <rPr>
        <sz val="12"/>
        <color theme="1"/>
        <rFont val="新細明體"/>
        <family val="2"/>
      </rPr>
      <t>任务单编号</t>
    </r>
    <r>
      <rPr>
        <sz val="12"/>
        <color theme="1"/>
        <rFont val="Candara"/>
        <family val="2"/>
      </rPr>
      <t>(seq)</t>
    </r>
    <phoneticPr fontId="1" type="noConversion"/>
  </si>
  <si>
    <r>
      <t>5.</t>
    </r>
    <r>
      <rPr>
        <sz val="12"/>
        <color theme="1"/>
        <rFont val="新細明體"/>
        <family val="2"/>
      </rPr>
      <t>取消類型</t>
    </r>
    <phoneticPr fontId="1" type="noConversion"/>
  </si>
  <si>
    <r>
      <t>6.</t>
    </r>
    <r>
      <rPr>
        <sz val="12"/>
        <color theme="1"/>
        <rFont val="新細明體"/>
        <family val="2"/>
      </rPr>
      <t>回庫模式</t>
    </r>
    <phoneticPr fontId="1" type="noConversion"/>
  </si>
  <si>
    <r>
      <rPr>
        <sz val="12"/>
        <color theme="1"/>
        <rFont val="新細明體"/>
        <family val="2"/>
      </rPr>
      <t>繼續執行任務</t>
    </r>
    <phoneticPr fontId="1" type="noConversion"/>
  </si>
  <si>
    <r>
      <rPr>
        <sz val="12"/>
        <color theme="1"/>
        <rFont val="新細明體"/>
        <family val="2"/>
      </rPr>
      <t>試著將</t>
    </r>
    <r>
      <rPr>
        <sz val="12"/>
        <color theme="1"/>
        <rFont val="Candara"/>
        <family val="2"/>
      </rPr>
      <t>User</t>
    </r>
    <r>
      <rPr>
        <sz val="12"/>
        <color theme="1"/>
        <rFont val="新細明體"/>
        <family val="2"/>
      </rPr>
      <t>要繼續執行的命令拋給</t>
    </r>
    <r>
      <rPr>
        <sz val="12"/>
        <color theme="1"/>
        <rFont val="Candara"/>
        <family val="2"/>
      </rPr>
      <t>AGV</t>
    </r>
    <r>
      <rPr>
        <sz val="12"/>
        <color theme="1"/>
        <rFont val="新細明體"/>
        <family val="2"/>
      </rPr>
      <t>系統</t>
    </r>
    <phoneticPr fontId="1" type="noConversion"/>
  </si>
  <si>
    <r>
      <t>4.AGV</t>
    </r>
    <r>
      <rPr>
        <sz val="12"/>
        <color theme="1"/>
        <rFont val="新細明體"/>
        <family val="2"/>
      </rPr>
      <t>編號</t>
    </r>
    <phoneticPr fontId="1" type="noConversion"/>
  </si>
  <si>
    <r>
      <t xml:space="preserve">5. </t>
    </r>
    <r>
      <rPr>
        <sz val="12"/>
        <color theme="1"/>
        <rFont val="新細明體"/>
        <family val="2"/>
      </rPr>
      <t>任务单编号</t>
    </r>
    <r>
      <rPr>
        <sz val="12"/>
        <color theme="1"/>
        <rFont val="Candara"/>
        <family val="2"/>
      </rPr>
      <t>(seq)</t>
    </r>
    <phoneticPr fontId="1" type="noConversion"/>
  </si>
  <si>
    <r>
      <rPr>
        <sz val="12"/>
        <color theme="1"/>
        <rFont val="新細明體"/>
        <family val="2"/>
      </rPr>
      <t>更新任務狀態</t>
    </r>
    <phoneticPr fontId="1" type="noConversion"/>
  </si>
  <si>
    <r>
      <t>AGV</t>
    </r>
    <r>
      <rPr>
        <sz val="12"/>
        <color theme="1"/>
        <rFont val="新細明體"/>
        <family val="2"/>
      </rPr>
      <t>系統執行命令時，</t>
    </r>
    <phoneticPr fontId="1" type="noConversion"/>
  </si>
  <si>
    <r>
      <rPr>
        <sz val="12"/>
        <color theme="1"/>
        <rFont val="新細明體"/>
        <family val="2"/>
      </rPr>
      <t>需要更新命令執行狀態給</t>
    </r>
    <r>
      <rPr>
        <sz val="12"/>
        <color theme="1"/>
        <rFont val="Candara"/>
        <family val="2"/>
      </rPr>
      <t xml:space="preserve">WMS </t>
    </r>
    <phoneticPr fontId="1" type="noConversion"/>
  </si>
  <si>
    <r>
      <t xml:space="preserve">3. </t>
    </r>
    <r>
      <rPr>
        <sz val="12"/>
        <color theme="1"/>
        <rFont val="新細明體"/>
        <family val="2"/>
      </rPr>
      <t>起始儲位</t>
    </r>
    <phoneticPr fontId="1" type="noConversion"/>
  </si>
  <si>
    <r>
      <t xml:space="preserve">4. </t>
    </r>
    <r>
      <rPr>
        <sz val="12"/>
        <color theme="1"/>
        <rFont val="新細明體"/>
        <family val="2"/>
      </rPr>
      <t>任務編號</t>
    </r>
    <phoneticPr fontId="1" type="noConversion"/>
  </si>
  <si>
    <r>
      <t xml:space="preserve">5. </t>
    </r>
    <r>
      <rPr>
        <sz val="12"/>
        <color theme="1"/>
        <rFont val="新細明體"/>
        <family val="2"/>
      </rPr>
      <t>暫放儲位</t>
    </r>
    <phoneticPr fontId="1" type="noConversion"/>
  </si>
  <si>
    <r>
      <t xml:space="preserve">6. </t>
    </r>
    <r>
      <rPr>
        <sz val="12"/>
        <color theme="1"/>
        <rFont val="新細明體"/>
        <family val="2"/>
      </rPr>
      <t>目的儲位</t>
    </r>
    <phoneticPr fontId="1" type="noConversion"/>
  </si>
  <si>
    <r>
      <t xml:space="preserve">7. </t>
    </r>
    <r>
      <rPr>
        <sz val="12"/>
        <color theme="1"/>
        <rFont val="新細明體"/>
        <family val="2"/>
      </rPr>
      <t>料架車編號</t>
    </r>
    <phoneticPr fontId="1" type="noConversion"/>
  </si>
  <si>
    <r>
      <t xml:space="preserve">8. </t>
    </r>
    <r>
      <rPr>
        <sz val="12"/>
        <color theme="1"/>
        <rFont val="新細明體"/>
        <family val="2"/>
      </rPr>
      <t>任務名稱</t>
    </r>
    <phoneticPr fontId="1" type="noConversion"/>
  </si>
  <si>
    <r>
      <t xml:space="preserve">9. </t>
    </r>
    <r>
      <rPr>
        <sz val="12"/>
        <color theme="1"/>
        <rFont val="新細明體"/>
        <family val="2"/>
      </rPr>
      <t>任務狀態</t>
    </r>
    <phoneticPr fontId="1" type="noConversion"/>
  </si>
  <si>
    <r>
      <t>Raw Data</t>
    </r>
    <r>
      <rPr>
        <sz val="12"/>
        <color theme="1"/>
        <rFont val="新細明體"/>
        <family val="2"/>
      </rPr>
      <t>回傳</t>
    </r>
    <phoneticPr fontId="1" type="noConversion"/>
  </si>
  <si>
    <r>
      <t>AGV</t>
    </r>
    <r>
      <rPr>
        <sz val="12"/>
        <color theme="1"/>
        <rFont val="新細明體"/>
        <family val="2"/>
      </rPr>
      <t>系統的</t>
    </r>
    <r>
      <rPr>
        <sz val="12"/>
        <color theme="1"/>
        <rFont val="Candara"/>
        <family val="2"/>
      </rPr>
      <t>Raw Data</t>
    </r>
    <r>
      <rPr>
        <sz val="12"/>
        <color theme="1"/>
        <rFont val="新細明體"/>
        <family val="2"/>
      </rPr>
      <t>回傳給</t>
    </r>
    <r>
      <rPr>
        <sz val="12"/>
        <color theme="1"/>
        <rFont val="Candara"/>
        <family val="2"/>
      </rPr>
      <t>User</t>
    </r>
    <r>
      <rPr>
        <sz val="12"/>
        <color theme="1"/>
        <rFont val="新細明體"/>
        <family val="2"/>
      </rPr>
      <t>用來分析使用</t>
    </r>
    <phoneticPr fontId="1" type="noConversion"/>
  </si>
  <si>
    <r>
      <t>Raw Data</t>
    </r>
    <r>
      <rPr>
        <sz val="12"/>
        <color theme="1"/>
        <rFont val="新細明體"/>
        <family val="2"/>
      </rPr>
      <t>代號</t>
    </r>
    <phoneticPr fontId="1" type="noConversion"/>
  </si>
  <si>
    <r>
      <t xml:space="preserve">  1=</t>
    </r>
    <r>
      <rPr>
        <sz val="12"/>
        <color theme="1"/>
        <rFont val="新細明體"/>
        <family val="2"/>
      </rPr>
      <t>任務紀錄</t>
    </r>
    <phoneticPr fontId="1" type="noConversion"/>
  </si>
  <si>
    <r>
      <t>3. Raw Data</t>
    </r>
    <r>
      <rPr>
        <sz val="12"/>
        <color theme="1"/>
        <rFont val="新細明體"/>
        <family val="2"/>
      </rPr>
      <t>代號</t>
    </r>
    <phoneticPr fontId="1" type="noConversion"/>
  </si>
  <si>
    <r>
      <t xml:space="preserve">  2=AGV</t>
    </r>
    <r>
      <rPr>
        <sz val="12"/>
        <color theme="1"/>
        <rFont val="新細明體"/>
        <family val="2"/>
      </rPr>
      <t>任務次數記錄</t>
    </r>
    <phoneticPr fontId="1" type="noConversion"/>
  </si>
  <si>
    <r>
      <t>4. Text</t>
    </r>
    <r>
      <rPr>
        <sz val="12"/>
        <color theme="1"/>
        <rFont val="新細明體"/>
        <family val="2"/>
      </rPr>
      <t>檔案</t>
    </r>
    <r>
      <rPr>
        <sz val="12"/>
        <color theme="1"/>
        <rFont val="Candara"/>
        <family val="2"/>
      </rPr>
      <t xml:space="preserve"> (</t>
    </r>
    <r>
      <rPr>
        <sz val="12"/>
        <color theme="1"/>
        <rFont val="新細明體"/>
        <family val="2"/>
      </rPr>
      <t>欄位參考</t>
    </r>
    <r>
      <rPr>
        <sz val="12"/>
        <color theme="1"/>
        <rFont val="Candara"/>
        <family val="2"/>
      </rPr>
      <t>Ref)</t>
    </r>
    <phoneticPr fontId="1" type="noConversion"/>
  </si>
  <si>
    <r>
      <t>Text</t>
    </r>
    <r>
      <rPr>
        <sz val="12"/>
        <color theme="1"/>
        <rFont val="新細明體"/>
        <family val="2"/>
      </rPr>
      <t>檔案內資料欄位用逗點分隔</t>
    </r>
    <phoneticPr fontId="1" type="noConversion"/>
  </si>
  <si>
    <r>
      <rPr>
        <sz val="12"/>
        <color theme="1"/>
        <rFont val="細明體"/>
        <family val="2"/>
        <charset val="136"/>
      </rPr>
      <t>查詢任務狀態</t>
    </r>
    <phoneticPr fontId="1" type="noConversion"/>
  </si>
  <si>
    <r>
      <rPr>
        <sz val="12"/>
        <color theme="1"/>
        <rFont val="細明體"/>
        <family val="2"/>
        <charset val="136"/>
      </rPr>
      <t>上位透過</t>
    </r>
    <r>
      <rPr>
        <sz val="12"/>
        <color theme="1"/>
        <rFont val="Candara"/>
        <family val="2"/>
      </rPr>
      <t>API</t>
    </r>
    <r>
      <rPr>
        <sz val="12"/>
        <color theme="1"/>
        <rFont val="細明體"/>
        <family val="2"/>
        <charset val="136"/>
      </rPr>
      <t>查詢任務在</t>
    </r>
    <r>
      <rPr>
        <sz val="12"/>
        <color theme="1"/>
        <rFont val="Candara"/>
        <family val="2"/>
      </rPr>
      <t>MCS</t>
    </r>
    <r>
      <rPr>
        <sz val="12"/>
        <color theme="1"/>
        <rFont val="細明體"/>
        <family val="2"/>
        <charset val="136"/>
      </rPr>
      <t>的目前執行狀態</t>
    </r>
    <phoneticPr fontId="1" type="noConversion"/>
  </si>
  <si>
    <t xml:space="preserve">1. Seq </t>
    <phoneticPr fontId="1" type="noConversion"/>
  </si>
  <si>
    <t>start
running
success
fail
cancel</t>
    <phoneticPr fontId="1" type="noConversion"/>
  </si>
  <si>
    <t>{"seq":	"AGV20220901000000DD"}</t>
    <phoneticPr fontId="1" type="noConversion"/>
  </si>
  <si>
    <t>1. Seq 
2. Return Code S/F
3. Return Message</t>
    <phoneticPr fontId="1" type="noConversion"/>
  </si>
  <si>
    <t>{</t>
    <phoneticPr fontId="1" type="noConversion"/>
  </si>
  <si>
    <t xml:space="preserve">    "return_code": "S",</t>
    <phoneticPr fontId="1" type="noConversion"/>
  </si>
  <si>
    <t xml:space="preserve">    "return_msg": "cancel"</t>
    <phoneticPr fontId="1" type="noConversion"/>
  </si>
  <si>
    <t>}</t>
    <phoneticPr fontId="1" type="noConversion"/>
  </si>
  <si>
    <t>no data
seq is empty
錯誤內容</t>
    <phoneticPr fontId="1" type="noConversion"/>
  </si>
  <si>
    <t xml:space="preserve">    "seq": "AGV20220901000000DD",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</si>
</sst>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Microsoft JhengHei Light"/>
      <family val="2"/>
      <charset val="136"/>
    </font>
    <font>
      <sz val="10"/>
      <color theme="1"/>
      <name val="Microsoft JhengHei Light"/>
      <family val="2"/>
      <charset val="136"/>
    </font>
    <font>
      <sz val="12"/>
      <color theme="1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color theme="1"/>
      <name val="Candara"/>
      <family val="2"/>
    </font>
    <font>
      <sz val="12"/>
      <color rgb="FF000000"/>
      <name val="Candara"/>
      <family val="2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scheme val="minor"/>
    </font>
    <font>
      <sz val="11"/>
      <color theme="1"/>
      <name val="Microsoft JhengHei Light"/>
      <family val="2"/>
      <charset val="136"/>
    </font>
    <font>
      <b/>
      <sz val="12"/>
      <color rgb="FF00B0F0"/>
      <name val="微軟正黑體"/>
      <family val="2"/>
      <charset val="136"/>
    </font>
    <font>
      <sz val="12"/>
      <color theme="0"/>
      <name val="Candara"/>
      <family val="2"/>
    </font>
    <font>
      <sz val="12"/>
      <color theme="0"/>
      <name val="新細明體"/>
      <family val="2"/>
    </font>
    <font>
      <sz val="12"/>
      <color theme="0"/>
      <name val="新細明體"/>
      <family val="1"/>
      <charset val="136"/>
    </font>
    <font>
      <sz val="12"/>
      <color theme="1"/>
      <name val="新細明體"/>
      <family val="2"/>
    </font>
    <font>
      <sz val="12"/>
      <color theme="1"/>
      <name val="細明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6" fillId="0" borderId="0">
      <alignment vertical="center"/>
    </xf>
    <xf numFmtId="0" fontId="14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/>
    </xf>
    <xf numFmtId="0" fontId="3" fillId="4" borderId="29" xfId="0" applyFont="1" applyFill="1" applyBorder="1" applyAlignment="1">
      <alignment vertical="center"/>
    </xf>
    <xf numFmtId="0" fontId="3" fillId="4" borderId="29" xfId="0" applyFont="1" applyFill="1" applyBorder="1" applyAlignment="1">
      <alignment horizontal="center" wrapText="1"/>
    </xf>
    <xf numFmtId="0" fontId="3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left" wrapText="1"/>
    </xf>
    <xf numFmtId="0" fontId="3" fillId="0" borderId="7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 wrapText="1"/>
    </xf>
    <xf numFmtId="0" fontId="3" fillId="0" borderId="29" xfId="0" applyFont="1" applyBorder="1"/>
    <xf numFmtId="0" fontId="0" fillId="0" borderId="29" xfId="0" applyBorder="1"/>
    <xf numFmtId="0" fontId="0" fillId="5" borderId="29" xfId="0" applyFill="1" applyBorder="1"/>
    <xf numFmtId="0" fontId="3" fillId="5" borderId="29" xfId="0" applyFont="1" applyFill="1" applyBorder="1" applyAlignment="1">
      <alignment horizontal="center" wrapText="1"/>
    </xf>
    <xf numFmtId="0" fontId="3" fillId="5" borderId="29" xfId="0" applyFont="1" applyFill="1" applyBorder="1"/>
    <xf numFmtId="0" fontId="3" fillId="4" borderId="2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7" fillId="7" borderId="0" xfId="0" applyFont="1" applyFill="1" applyAlignment="1">
      <alignment horizontal="center"/>
    </xf>
    <xf numFmtId="0" fontId="7" fillId="7" borderId="0" xfId="0" applyFont="1" applyFill="1"/>
    <xf numFmtId="0" fontId="9" fillId="8" borderId="31" xfId="0" applyFont="1" applyFill="1" applyBorder="1" applyAlignment="1">
      <alignment vertical="center" wrapText="1"/>
    </xf>
    <xf numFmtId="0" fontId="12" fillId="8" borderId="32" xfId="0" applyFont="1" applyFill="1" applyBorder="1" applyAlignment="1">
      <alignment vertical="center" wrapText="1"/>
    </xf>
    <xf numFmtId="0" fontId="10" fillId="8" borderId="32" xfId="0" applyFont="1" applyFill="1" applyBorder="1" applyAlignment="1">
      <alignment vertical="center" wrapText="1"/>
    </xf>
    <xf numFmtId="0" fontId="11" fillId="0" borderId="35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7" fillId="6" borderId="29" xfId="0" applyFont="1" applyFill="1" applyBorder="1"/>
    <xf numFmtId="0" fontId="7" fillId="0" borderId="29" xfId="0" applyFont="1" applyBorder="1"/>
    <xf numFmtId="0" fontId="7" fillId="0" borderId="0" xfId="0" applyFont="1" applyAlignment="1">
      <alignment vertical="center"/>
    </xf>
    <xf numFmtId="0" fontId="7" fillId="9" borderId="30" xfId="0" applyFont="1" applyFill="1" applyBorder="1" applyAlignment="1">
      <alignment horizontal="center" vertical="center"/>
    </xf>
    <xf numFmtId="0" fontId="7" fillId="10" borderId="30" xfId="0" applyFont="1" applyFill="1" applyBorder="1" applyAlignment="1">
      <alignment horizontal="center" vertical="center"/>
    </xf>
    <xf numFmtId="0" fontId="7" fillId="10" borderId="30" xfId="0" applyFont="1" applyFill="1" applyBorder="1" applyAlignment="1">
      <alignment horizontal="center" vertical="center" wrapText="1"/>
    </xf>
    <xf numFmtId="0" fontId="7" fillId="9" borderId="3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left"/>
    </xf>
    <xf numFmtId="0" fontId="7" fillId="0" borderId="29" xfId="0" applyFont="1" applyBorder="1" applyAlignment="1">
      <alignment horizontal="center"/>
    </xf>
    <xf numFmtId="0" fontId="7" fillId="0" borderId="29" xfId="0" applyFont="1" applyBorder="1" applyAlignment="1">
      <alignment vertical="center"/>
    </xf>
    <xf numFmtId="0" fontId="7" fillId="0" borderId="29" xfId="0" applyFont="1" applyBorder="1" applyAlignment="1">
      <alignment horizontal="left" wrapText="1"/>
    </xf>
    <xf numFmtId="0" fontId="7" fillId="0" borderId="2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9" borderId="29" xfId="0" applyFont="1" applyFill="1" applyBorder="1" applyAlignment="1">
      <alignment horizontal="left" vertical="center"/>
    </xf>
    <xf numFmtId="0" fontId="14" fillId="0" borderId="29" xfId="2" applyBorder="1" applyAlignment="1">
      <alignment horizontal="left" vertical="center" wrapText="1"/>
    </xf>
    <xf numFmtId="0" fontId="14" fillId="0" borderId="29" xfId="2" applyBorder="1" applyAlignment="1">
      <alignment horizontal="left" wrapText="1"/>
    </xf>
    <xf numFmtId="0" fontId="3" fillId="5" borderId="29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0" fillId="6" borderId="29" xfId="0" applyFill="1" applyBorder="1"/>
    <xf numFmtId="0" fontId="3" fillId="6" borderId="29" xfId="0" applyFont="1" applyFill="1" applyBorder="1"/>
    <xf numFmtId="0" fontId="3" fillId="6" borderId="29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6" borderId="9" xfId="0" applyFont="1" applyFill="1" applyBorder="1" applyAlignment="1">
      <alignment horizontal="center" vertical="center"/>
    </xf>
    <xf numFmtId="0" fontId="11" fillId="2" borderId="0" xfId="0" applyFont="1" applyFill="1"/>
    <xf numFmtId="0" fontId="11" fillId="0" borderId="0" xfId="0" applyFont="1"/>
    <xf numFmtId="0" fontId="17" fillId="3" borderId="1" xfId="0" applyFont="1" applyFill="1" applyBorder="1"/>
    <xf numFmtId="0" fontId="17" fillId="3" borderId="2" xfId="0" applyFont="1" applyFill="1" applyBorder="1"/>
    <xf numFmtId="0" fontId="17" fillId="3" borderId="3" xfId="0" applyFont="1" applyFill="1" applyBorder="1"/>
    <xf numFmtId="0" fontId="17" fillId="3" borderId="4" xfId="0" applyFont="1" applyFill="1" applyBorder="1"/>
    <xf numFmtId="0" fontId="17" fillId="3" borderId="5" xfId="0" applyFont="1" applyFill="1" applyBorder="1"/>
    <xf numFmtId="0" fontId="11" fillId="4" borderId="6" xfId="0" applyFont="1" applyFill="1" applyBorder="1"/>
    <xf numFmtId="0" fontId="11" fillId="4" borderId="7" xfId="0" applyFont="1" applyFill="1" applyBorder="1"/>
    <xf numFmtId="0" fontId="11" fillId="4" borderId="8" xfId="0" applyFont="1" applyFill="1" applyBorder="1"/>
    <xf numFmtId="0" fontId="11" fillId="4" borderId="9" xfId="0" applyFont="1" applyFill="1" applyBorder="1"/>
    <xf numFmtId="0" fontId="11" fillId="4" borderId="0" xfId="0" applyFont="1" applyFill="1"/>
    <xf numFmtId="0" fontId="11" fillId="4" borderId="10" xfId="0" applyFont="1" applyFill="1" applyBorder="1"/>
    <xf numFmtId="0" fontId="11" fillId="4" borderId="11" xfId="0" applyFont="1" applyFill="1" applyBorder="1"/>
    <xf numFmtId="0" fontId="11" fillId="4" borderId="12" xfId="0" applyFont="1" applyFill="1" applyBorder="1"/>
    <xf numFmtId="0" fontId="11" fillId="4" borderId="13" xfId="0" applyFont="1" applyFill="1" applyBorder="1"/>
    <xf numFmtId="0" fontId="11" fillId="4" borderId="14" xfId="0" applyFont="1" applyFill="1" applyBorder="1"/>
    <xf numFmtId="0" fontId="11" fillId="4" borderId="15" xfId="0" applyFont="1" applyFill="1" applyBorder="1"/>
    <xf numFmtId="0" fontId="11" fillId="4" borderId="16" xfId="0" applyFont="1" applyFill="1" applyBorder="1"/>
    <xf numFmtId="0" fontId="11" fillId="4" borderId="17" xfId="0" applyFont="1" applyFill="1" applyBorder="1"/>
    <xf numFmtId="0" fontId="11" fillId="4" borderId="18" xfId="0" applyFont="1" applyFill="1" applyBorder="1"/>
    <xf numFmtId="0" fontId="11" fillId="4" borderId="19" xfId="0" applyFont="1" applyFill="1" applyBorder="1"/>
    <xf numFmtId="0" fontId="11" fillId="4" borderId="20" xfId="0" applyFont="1" applyFill="1" applyBorder="1"/>
    <xf numFmtId="0" fontId="11" fillId="4" borderId="21" xfId="0" applyFont="1" applyFill="1" applyBorder="1"/>
    <xf numFmtId="0" fontId="11" fillId="4" borderId="38" xfId="0" applyFont="1" applyFill="1" applyBorder="1"/>
    <xf numFmtId="0" fontId="11" fillId="4" borderId="39" xfId="0" applyFont="1" applyFill="1" applyBorder="1"/>
    <xf numFmtId="0" fontId="11" fillId="4" borderId="37" xfId="0" applyFont="1" applyFill="1" applyBorder="1"/>
    <xf numFmtId="0" fontId="11" fillId="5" borderId="17" xfId="0" applyFont="1" applyFill="1" applyBorder="1"/>
    <xf numFmtId="0" fontId="11" fillId="5" borderId="18" xfId="0" applyFont="1" applyFill="1" applyBorder="1"/>
    <xf numFmtId="0" fontId="11" fillId="5" borderId="19" xfId="0" applyFont="1" applyFill="1" applyBorder="1"/>
    <xf numFmtId="0" fontId="11" fillId="5" borderId="21" xfId="0" applyFont="1" applyFill="1" applyBorder="1"/>
    <xf numFmtId="0" fontId="11" fillId="5" borderId="0" xfId="0" applyFont="1" applyFill="1"/>
    <xf numFmtId="0" fontId="11" fillId="5" borderId="13" xfId="0" applyFont="1" applyFill="1" applyBorder="1"/>
    <xf numFmtId="0" fontId="11" fillId="5" borderId="6" xfId="0" applyFont="1" applyFill="1" applyBorder="1"/>
    <xf numFmtId="0" fontId="11" fillId="5" borderId="7" xfId="0" applyFont="1" applyFill="1" applyBorder="1"/>
    <xf numFmtId="0" fontId="11" fillId="5" borderId="8" xfId="0" applyFont="1" applyFill="1" applyBorder="1"/>
    <xf numFmtId="0" fontId="11" fillId="5" borderId="14" xfId="0" applyFont="1" applyFill="1" applyBorder="1"/>
    <xf numFmtId="0" fontId="11" fillId="5" borderId="15" xfId="0" applyFont="1" applyFill="1" applyBorder="1"/>
    <xf numFmtId="0" fontId="11" fillId="5" borderId="16" xfId="0" applyFont="1" applyFill="1" applyBorder="1"/>
    <xf numFmtId="0" fontId="11" fillId="6" borderId="23" xfId="0" applyFont="1" applyFill="1" applyBorder="1" applyAlignment="1">
      <alignment vertical="center"/>
    </xf>
    <xf numFmtId="0" fontId="11" fillId="6" borderId="22" xfId="0" applyFont="1" applyFill="1" applyBorder="1" applyAlignment="1">
      <alignment vertical="center"/>
    </xf>
    <xf numFmtId="0" fontId="11" fillId="6" borderId="24" xfId="0" applyFont="1" applyFill="1" applyBorder="1" applyAlignment="1">
      <alignment vertical="center"/>
    </xf>
    <xf numFmtId="0" fontId="11" fillId="6" borderId="25" xfId="0" applyFont="1" applyFill="1" applyBorder="1" applyAlignment="1">
      <alignment vertical="center"/>
    </xf>
    <xf numFmtId="0" fontId="7" fillId="0" borderId="29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6" borderId="40" xfId="0" applyFont="1" applyFill="1" applyBorder="1" applyAlignment="1">
      <alignment horizontal="left" wrapText="1"/>
    </xf>
    <xf numFmtId="0" fontId="11" fillId="6" borderId="23" xfId="0" applyFont="1" applyFill="1" applyBorder="1" applyAlignment="1">
      <alignment horizontal="left" wrapText="1"/>
    </xf>
    <xf numFmtId="0" fontId="11" fillId="6" borderId="26" xfId="0" applyFont="1" applyFill="1" applyBorder="1" applyAlignment="1">
      <alignment horizontal="left" wrapText="1"/>
    </xf>
    <xf numFmtId="0" fontId="11" fillId="6" borderId="40" xfId="0" applyFont="1" applyFill="1" applyBorder="1" applyAlignment="1">
      <alignment horizontal="left" vertical="center"/>
    </xf>
    <xf numFmtId="0" fontId="11" fillId="6" borderId="23" xfId="0" applyFont="1" applyFill="1" applyBorder="1" applyAlignment="1">
      <alignment horizontal="left" vertical="center"/>
    </xf>
    <xf numFmtId="0" fontId="11" fillId="6" borderId="24" xfId="0" applyFont="1" applyFill="1" applyBorder="1" applyAlignment="1">
      <alignment horizontal="left" vertical="center"/>
    </xf>
    <xf numFmtId="0" fontId="3" fillId="6" borderId="29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 vertical="center"/>
    </xf>
    <xf numFmtId="0" fontId="7" fillId="9" borderId="37" xfId="0" applyFont="1" applyFill="1" applyBorder="1" applyAlignment="1">
      <alignment horizontal="center" vertical="center"/>
    </xf>
    <xf numFmtId="0" fontId="7" fillId="9" borderId="29" xfId="0" applyFont="1" applyFill="1" applyBorder="1" applyAlignment="1">
      <alignment horizontal="center"/>
    </xf>
    <xf numFmtId="0" fontId="9" fillId="0" borderId="36" xfId="0" applyFont="1" applyBorder="1" applyAlignment="1">
      <alignment vertical="center" wrapText="1"/>
    </xf>
    <xf numFmtId="0" fontId="9" fillId="0" borderId="34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</cellXfs>
  <cellStyles count="3">
    <cellStyle name="一般" xfId="0" builtinId="0"/>
    <cellStyle name="一般 2" xfId="1" xr:uid="{00000000-0005-0000-0000-000001000000}"/>
    <cellStyle name="超連結" xfId="2" builtinId="8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12701</xdr:rowOff>
    </xdr:from>
    <xdr:to>
      <xdr:col>2</xdr:col>
      <xdr:colOff>9525</xdr:colOff>
      <xdr:row>18</xdr:row>
      <xdr:rowOff>55545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C80D5E0-E8C4-4DE9-BB36-1A26E658A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1"/>
          <a:ext cx="2889250" cy="1985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opLeftCell="A23" zoomScale="90" zoomScaleNormal="90" workbookViewId="0">
      <selection activeCell="D47" sqref="D47"/>
    </sheetView>
  </sheetViews>
  <sheetFormatPr defaultRowHeight="15.5" x14ac:dyDescent="0.35"/>
  <cols>
    <col min="1" max="1" width="2.453125" style="56" customWidth="1"/>
    <col min="2" max="2" width="13.36328125" style="56" customWidth="1"/>
    <col min="3" max="5" width="8.7265625" style="56"/>
    <col min="6" max="8" width="11.08984375" style="56" customWidth="1"/>
    <col min="9" max="9" width="17.7265625" style="55" customWidth="1"/>
    <col min="10" max="12" width="9" style="56" customWidth="1"/>
    <col min="13" max="16384" width="8.7265625" style="56"/>
  </cols>
  <sheetData>
    <row r="1" spans="1:20" ht="16" thickBot="1" x14ac:dyDescent="0.4">
      <c r="A1" s="55"/>
      <c r="B1" s="55"/>
      <c r="C1" s="55"/>
      <c r="D1" s="55"/>
      <c r="E1" s="55"/>
      <c r="F1" s="55"/>
      <c r="G1" s="55"/>
      <c r="H1" s="55"/>
      <c r="J1" s="55" t="s">
        <v>0</v>
      </c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20" ht="18" thickTop="1" thickBot="1" x14ac:dyDescent="0.45">
      <c r="A2" s="55"/>
      <c r="B2" s="57" t="s">
        <v>294</v>
      </c>
      <c r="C2" s="58" t="s">
        <v>295</v>
      </c>
      <c r="D2" s="59"/>
      <c r="E2" s="60" t="s">
        <v>296</v>
      </c>
      <c r="F2" s="58" t="s">
        <v>297</v>
      </c>
      <c r="G2" s="60"/>
      <c r="H2" s="60"/>
      <c r="I2" s="59"/>
      <c r="J2" s="58" t="s">
        <v>298</v>
      </c>
      <c r="K2" s="60"/>
      <c r="L2" s="59"/>
      <c r="M2" s="60" t="s">
        <v>299</v>
      </c>
      <c r="N2" s="60"/>
      <c r="O2" s="61"/>
      <c r="P2" s="55"/>
      <c r="Q2" s="55"/>
      <c r="R2" s="55"/>
      <c r="S2" s="55"/>
      <c r="T2" s="55"/>
    </row>
    <row r="3" spans="1:20" ht="17.5" thickTop="1" x14ac:dyDescent="0.4">
      <c r="A3" s="55"/>
      <c r="B3" s="62" t="s">
        <v>3</v>
      </c>
      <c r="C3" s="63" t="s">
        <v>300</v>
      </c>
      <c r="D3" s="64"/>
      <c r="E3" s="65" t="s">
        <v>4</v>
      </c>
      <c r="F3" s="66" t="s">
        <v>301</v>
      </c>
      <c r="G3" s="66"/>
      <c r="H3" s="66"/>
      <c r="I3" s="64"/>
      <c r="J3" s="63" t="s">
        <v>302</v>
      </c>
      <c r="K3" s="66"/>
      <c r="L3" s="67"/>
      <c r="M3" s="63" t="s">
        <v>302</v>
      </c>
      <c r="N3" s="68"/>
      <c r="O3" s="69"/>
      <c r="P3" s="55"/>
      <c r="Q3" s="55"/>
      <c r="R3" s="55"/>
      <c r="S3" s="55"/>
      <c r="T3" s="55"/>
    </row>
    <row r="4" spans="1:20" s="55" customFormat="1" x14ac:dyDescent="0.35">
      <c r="B4" s="62"/>
      <c r="C4" s="63"/>
      <c r="D4" s="64"/>
      <c r="E4" s="65"/>
      <c r="F4" s="66"/>
      <c r="G4" s="66"/>
      <c r="H4" s="66"/>
      <c r="I4" s="64"/>
      <c r="J4" s="63" t="s">
        <v>5</v>
      </c>
      <c r="K4" s="66"/>
      <c r="L4" s="64"/>
      <c r="M4" s="63" t="s">
        <v>5</v>
      </c>
      <c r="N4" s="66"/>
      <c r="O4" s="70"/>
    </row>
    <row r="5" spans="1:20" s="55" customFormat="1" ht="17" x14ac:dyDescent="0.4">
      <c r="B5" s="62"/>
      <c r="C5" s="63"/>
      <c r="D5" s="64"/>
      <c r="E5" s="65"/>
      <c r="F5" s="66" t="s">
        <v>303</v>
      </c>
      <c r="G5" s="66"/>
      <c r="H5" s="66"/>
      <c r="I5" s="64"/>
      <c r="J5" s="63" t="s">
        <v>304</v>
      </c>
      <c r="K5" s="66"/>
      <c r="L5" s="64"/>
      <c r="M5" s="63" t="s">
        <v>6</v>
      </c>
      <c r="N5" s="66"/>
      <c r="O5" s="70"/>
    </row>
    <row r="6" spans="1:20" s="55" customFormat="1" ht="17" x14ac:dyDescent="0.4">
      <c r="B6" s="62"/>
      <c r="C6" s="63"/>
      <c r="D6" s="64"/>
      <c r="E6" s="65"/>
      <c r="F6" s="66" t="s">
        <v>305</v>
      </c>
      <c r="G6" s="66"/>
      <c r="H6" s="66"/>
      <c r="I6" s="64"/>
      <c r="J6" s="63" t="s">
        <v>306</v>
      </c>
      <c r="K6" s="66"/>
      <c r="L6" s="64"/>
      <c r="M6" s="63" t="s">
        <v>7</v>
      </c>
      <c r="N6" s="66"/>
      <c r="O6" s="70"/>
    </row>
    <row r="7" spans="1:20" s="55" customFormat="1" ht="17" x14ac:dyDescent="0.4">
      <c r="B7" s="62"/>
      <c r="C7" s="63"/>
      <c r="D7" s="64"/>
      <c r="E7" s="65"/>
      <c r="F7" s="66" t="s">
        <v>307</v>
      </c>
      <c r="G7" s="66"/>
      <c r="H7" s="66"/>
      <c r="I7" s="64"/>
      <c r="J7" s="63" t="s">
        <v>308</v>
      </c>
      <c r="K7" s="66"/>
      <c r="L7" s="64"/>
      <c r="M7" s="63"/>
      <c r="N7" s="66"/>
      <c r="O7" s="70"/>
    </row>
    <row r="8" spans="1:20" s="55" customFormat="1" ht="17" x14ac:dyDescent="0.4">
      <c r="B8" s="62"/>
      <c r="C8" s="63"/>
      <c r="D8" s="64"/>
      <c r="E8" s="65"/>
      <c r="F8" s="66" t="s">
        <v>309</v>
      </c>
      <c r="G8" s="66"/>
      <c r="H8" s="66"/>
      <c r="I8" s="66"/>
      <c r="J8" s="63" t="s">
        <v>310</v>
      </c>
      <c r="K8" s="66"/>
      <c r="L8" s="64"/>
      <c r="M8" s="63"/>
      <c r="N8" s="66"/>
      <c r="O8" s="70"/>
    </row>
    <row r="9" spans="1:20" s="55" customFormat="1" ht="17" x14ac:dyDescent="0.4">
      <c r="B9" s="62"/>
      <c r="C9" s="63"/>
      <c r="D9" s="64"/>
      <c r="E9" s="65"/>
      <c r="F9" s="66"/>
      <c r="G9" s="66"/>
      <c r="H9" s="66"/>
      <c r="I9" s="66"/>
      <c r="J9" s="63" t="s">
        <v>311</v>
      </c>
      <c r="K9" s="66"/>
      <c r="L9" s="64"/>
      <c r="M9" s="63"/>
      <c r="N9" s="66"/>
      <c r="O9" s="70"/>
    </row>
    <row r="10" spans="1:20" s="55" customFormat="1" ht="17" x14ac:dyDescent="0.4">
      <c r="B10" s="62"/>
      <c r="C10" s="63"/>
      <c r="D10" s="64"/>
      <c r="E10" s="65"/>
      <c r="F10" s="66"/>
      <c r="G10" s="66"/>
      <c r="H10" s="66"/>
      <c r="I10" s="66"/>
      <c r="J10" s="63" t="s">
        <v>312</v>
      </c>
      <c r="K10" s="66"/>
      <c r="L10" s="64"/>
      <c r="M10" s="63"/>
      <c r="N10" s="66"/>
      <c r="O10" s="70"/>
    </row>
    <row r="11" spans="1:20" s="55" customFormat="1" x14ac:dyDescent="0.35">
      <c r="B11" s="62"/>
      <c r="C11" s="63"/>
      <c r="D11" s="64"/>
      <c r="E11" s="65"/>
      <c r="F11" s="66"/>
      <c r="G11" s="66"/>
      <c r="H11" s="66"/>
      <c r="I11" s="66"/>
      <c r="J11" s="63" t="s">
        <v>8</v>
      </c>
      <c r="K11" s="66"/>
      <c r="L11" s="64"/>
      <c r="M11" s="63"/>
      <c r="N11" s="66"/>
      <c r="O11" s="70"/>
    </row>
    <row r="12" spans="1:20" s="55" customFormat="1" ht="17" x14ac:dyDescent="0.4">
      <c r="B12" s="62"/>
      <c r="C12" s="63"/>
      <c r="D12" s="64"/>
      <c r="E12" s="65"/>
      <c r="F12" s="66"/>
      <c r="G12" s="66"/>
      <c r="H12" s="66"/>
      <c r="I12" s="66"/>
      <c r="J12" s="63" t="s">
        <v>313</v>
      </c>
      <c r="K12" s="66"/>
      <c r="L12" s="64"/>
      <c r="M12" s="71"/>
      <c r="N12" s="72"/>
      <c r="O12" s="73"/>
    </row>
    <row r="13" spans="1:20" ht="16.5" customHeight="1" x14ac:dyDescent="0.4">
      <c r="A13" s="55"/>
      <c r="B13" s="74" t="s">
        <v>233</v>
      </c>
      <c r="C13" s="75" t="s">
        <v>314</v>
      </c>
      <c r="D13" s="76"/>
      <c r="E13" s="77" t="s">
        <v>4</v>
      </c>
      <c r="F13" s="75" t="s">
        <v>315</v>
      </c>
      <c r="G13" s="78"/>
      <c r="H13" s="78"/>
      <c r="I13" s="76"/>
      <c r="J13" s="75" t="s">
        <v>302</v>
      </c>
      <c r="K13" s="78"/>
      <c r="L13" s="76"/>
      <c r="M13" s="75" t="s">
        <v>302</v>
      </c>
      <c r="N13" s="78"/>
      <c r="O13" s="79"/>
      <c r="P13" s="55"/>
      <c r="Q13" s="55"/>
      <c r="R13" s="55"/>
      <c r="S13" s="55"/>
      <c r="T13" s="55"/>
    </row>
    <row r="14" spans="1:20" ht="16.5" customHeight="1" x14ac:dyDescent="0.4">
      <c r="A14" s="55"/>
      <c r="B14" s="62"/>
      <c r="C14" s="63"/>
      <c r="D14" s="64"/>
      <c r="E14" s="66"/>
      <c r="F14" s="63" t="s">
        <v>316</v>
      </c>
      <c r="G14" s="66"/>
      <c r="H14" s="66"/>
      <c r="I14" s="64"/>
      <c r="J14" s="63" t="s">
        <v>9</v>
      </c>
      <c r="K14" s="66"/>
      <c r="L14" s="64"/>
      <c r="M14" s="63" t="s">
        <v>5</v>
      </c>
      <c r="N14" s="66"/>
      <c r="O14" s="70"/>
      <c r="P14" s="55"/>
      <c r="Q14" s="55"/>
      <c r="R14" s="55"/>
      <c r="S14" s="55"/>
      <c r="T14" s="55"/>
    </row>
    <row r="15" spans="1:20" ht="16.5" customHeight="1" x14ac:dyDescent="0.4">
      <c r="A15" s="55"/>
      <c r="B15" s="62"/>
      <c r="C15" s="63"/>
      <c r="D15" s="64"/>
      <c r="E15" s="66"/>
      <c r="F15" s="63"/>
      <c r="G15" s="66"/>
      <c r="H15" s="66"/>
      <c r="I15" s="64"/>
      <c r="J15" s="63" t="s">
        <v>317</v>
      </c>
      <c r="K15" s="66"/>
      <c r="L15" s="64"/>
      <c r="M15" s="63" t="s">
        <v>6</v>
      </c>
      <c r="N15" s="66"/>
      <c r="O15" s="70"/>
      <c r="P15" s="55"/>
      <c r="Q15" s="55"/>
      <c r="R15" s="55"/>
      <c r="S15" s="55"/>
      <c r="T15" s="55"/>
    </row>
    <row r="16" spans="1:20" ht="16.5" customHeight="1" x14ac:dyDescent="0.4">
      <c r="A16" s="55"/>
      <c r="B16" s="62"/>
      <c r="C16" s="63"/>
      <c r="D16" s="64"/>
      <c r="E16" s="66"/>
      <c r="F16" s="63"/>
      <c r="G16" s="66"/>
      <c r="H16" s="66"/>
      <c r="I16" s="64"/>
      <c r="J16" s="63" t="s">
        <v>318</v>
      </c>
      <c r="K16" s="66"/>
      <c r="L16" s="64"/>
      <c r="M16" s="63" t="s">
        <v>7</v>
      </c>
      <c r="N16" s="66"/>
      <c r="O16" s="70"/>
      <c r="P16" s="55"/>
      <c r="Q16" s="55"/>
      <c r="R16" s="55"/>
      <c r="S16" s="55"/>
      <c r="T16" s="55"/>
    </row>
    <row r="17" spans="1:20" ht="16.5" customHeight="1" x14ac:dyDescent="0.4">
      <c r="A17" s="55"/>
      <c r="B17" s="62"/>
      <c r="C17" s="63"/>
      <c r="D17" s="64"/>
      <c r="E17" s="66"/>
      <c r="F17" s="63"/>
      <c r="G17" s="66"/>
      <c r="H17" s="66"/>
      <c r="I17" s="64"/>
      <c r="J17" s="63" t="s">
        <v>319</v>
      </c>
      <c r="K17" s="66"/>
      <c r="L17" s="64"/>
      <c r="M17" s="63"/>
      <c r="N17" s="66"/>
      <c r="O17" s="70"/>
      <c r="P17" s="55"/>
      <c r="Q17" s="55"/>
      <c r="R17" s="55"/>
      <c r="S17" s="55"/>
      <c r="T17" s="55"/>
    </row>
    <row r="18" spans="1:20" ht="16.5" customHeight="1" x14ac:dyDescent="0.4">
      <c r="A18" s="55"/>
      <c r="B18" s="80"/>
      <c r="C18" s="71"/>
      <c r="D18" s="81"/>
      <c r="E18" s="72"/>
      <c r="F18" s="71"/>
      <c r="G18" s="72"/>
      <c r="H18" s="72"/>
      <c r="I18" s="81"/>
      <c r="J18" s="71" t="s">
        <v>320</v>
      </c>
      <c r="K18" s="72"/>
      <c r="L18" s="81"/>
      <c r="M18" s="71"/>
      <c r="N18" s="72"/>
      <c r="O18" s="73"/>
      <c r="P18" s="55"/>
      <c r="Q18" s="55"/>
      <c r="R18" s="55"/>
      <c r="S18" s="55"/>
      <c r="T18" s="55"/>
    </row>
    <row r="19" spans="1:20" ht="16.5" customHeight="1" x14ac:dyDescent="0.4">
      <c r="A19" s="55"/>
      <c r="B19" s="74" t="s">
        <v>235</v>
      </c>
      <c r="C19" s="75" t="s">
        <v>321</v>
      </c>
      <c r="D19" s="76"/>
      <c r="E19" s="77" t="s">
        <v>4</v>
      </c>
      <c r="F19" s="75" t="s">
        <v>322</v>
      </c>
      <c r="G19" s="78"/>
      <c r="H19" s="78"/>
      <c r="I19" s="76"/>
      <c r="J19" s="75" t="s">
        <v>302</v>
      </c>
      <c r="K19" s="78"/>
      <c r="L19" s="76"/>
      <c r="M19" s="75" t="s">
        <v>302</v>
      </c>
      <c r="N19" s="78"/>
      <c r="O19" s="79"/>
      <c r="P19" s="55"/>
      <c r="Q19" s="55"/>
      <c r="R19" s="55"/>
      <c r="S19" s="55"/>
      <c r="T19" s="55"/>
    </row>
    <row r="20" spans="1:20" ht="16.5" customHeight="1" x14ac:dyDescent="0.35">
      <c r="A20" s="55"/>
      <c r="B20" s="62"/>
      <c r="C20" s="63"/>
      <c r="D20" s="64"/>
      <c r="E20" s="66"/>
      <c r="F20" s="63"/>
      <c r="G20" s="66"/>
      <c r="H20" s="66"/>
      <c r="I20" s="64"/>
      <c r="J20" s="63" t="s">
        <v>9</v>
      </c>
      <c r="K20" s="66"/>
      <c r="L20" s="64"/>
      <c r="M20" s="63" t="s">
        <v>5</v>
      </c>
      <c r="N20" s="66"/>
      <c r="O20" s="70"/>
      <c r="P20" s="55"/>
      <c r="Q20" s="55"/>
      <c r="R20" s="55"/>
      <c r="S20" s="55"/>
      <c r="T20" s="55"/>
    </row>
    <row r="21" spans="1:20" ht="16.5" customHeight="1" x14ac:dyDescent="0.4">
      <c r="A21" s="55"/>
      <c r="B21" s="62"/>
      <c r="C21" s="63"/>
      <c r="D21" s="64"/>
      <c r="E21" s="66"/>
      <c r="F21" s="63"/>
      <c r="G21" s="66"/>
      <c r="H21" s="66"/>
      <c r="I21" s="64"/>
      <c r="J21" s="63" t="s">
        <v>317</v>
      </c>
      <c r="K21" s="66"/>
      <c r="L21" s="64"/>
      <c r="M21" s="63" t="s">
        <v>6</v>
      </c>
      <c r="N21" s="66"/>
      <c r="O21" s="70"/>
      <c r="P21" s="55"/>
      <c r="Q21" s="55"/>
      <c r="R21" s="55"/>
      <c r="S21" s="55"/>
      <c r="T21" s="55"/>
    </row>
    <row r="22" spans="1:20" ht="16.5" customHeight="1" x14ac:dyDescent="0.4">
      <c r="A22" s="55"/>
      <c r="B22" s="62"/>
      <c r="C22" s="63"/>
      <c r="D22" s="64"/>
      <c r="E22" s="66"/>
      <c r="F22" s="63"/>
      <c r="G22" s="66"/>
      <c r="H22" s="66"/>
      <c r="I22" s="64"/>
      <c r="J22" s="63" t="s">
        <v>323</v>
      </c>
      <c r="K22" s="66"/>
      <c r="L22" s="64"/>
      <c r="M22" s="63" t="s">
        <v>7</v>
      </c>
      <c r="N22" s="66"/>
      <c r="O22" s="70"/>
      <c r="P22" s="55"/>
      <c r="Q22" s="55"/>
      <c r="R22" s="55"/>
      <c r="S22" s="55"/>
      <c r="T22" s="55"/>
    </row>
    <row r="23" spans="1:20" ht="16.5" customHeight="1" x14ac:dyDescent="0.4">
      <c r="A23" s="55"/>
      <c r="B23" s="80"/>
      <c r="C23" s="71"/>
      <c r="D23" s="81"/>
      <c r="E23" s="72"/>
      <c r="F23" s="71"/>
      <c r="G23" s="72"/>
      <c r="H23" s="72"/>
      <c r="I23" s="81"/>
      <c r="J23" s="71" t="s">
        <v>324</v>
      </c>
      <c r="K23" s="72"/>
      <c r="L23" s="81"/>
      <c r="M23" s="71"/>
      <c r="N23" s="72"/>
      <c r="O23" s="73"/>
      <c r="P23" s="55"/>
      <c r="Q23" s="55"/>
      <c r="R23" s="55"/>
      <c r="S23" s="55"/>
      <c r="T23" s="55"/>
    </row>
    <row r="24" spans="1:20" ht="16.5" customHeight="1" x14ac:dyDescent="0.4">
      <c r="A24" s="55"/>
      <c r="B24" s="82" t="s">
        <v>10</v>
      </c>
      <c r="C24" s="83" t="s">
        <v>325</v>
      </c>
      <c r="D24" s="84"/>
      <c r="E24" s="85" t="s">
        <v>11</v>
      </c>
      <c r="F24" s="83" t="s">
        <v>326</v>
      </c>
      <c r="G24" s="85"/>
      <c r="H24" s="85"/>
      <c r="I24" s="84"/>
      <c r="J24" s="83" t="s">
        <v>302</v>
      </c>
      <c r="K24" s="85"/>
      <c r="L24" s="84"/>
      <c r="M24" s="86" t="s">
        <v>302</v>
      </c>
      <c r="N24" s="86"/>
      <c r="O24" s="87"/>
      <c r="P24" s="55"/>
      <c r="Q24" s="55"/>
      <c r="R24" s="55"/>
      <c r="S24" s="55"/>
      <c r="T24" s="55"/>
    </row>
    <row r="25" spans="1:20" ht="16.5" customHeight="1" x14ac:dyDescent="0.4">
      <c r="A25" s="55"/>
      <c r="B25" s="88"/>
      <c r="C25" s="89"/>
      <c r="D25" s="90"/>
      <c r="E25" s="86"/>
      <c r="F25" s="89" t="s">
        <v>327</v>
      </c>
      <c r="G25" s="86"/>
      <c r="H25" s="86"/>
      <c r="I25" s="90"/>
      <c r="J25" s="89" t="s">
        <v>9</v>
      </c>
      <c r="K25" s="86"/>
      <c r="L25" s="90"/>
      <c r="M25" s="86" t="s">
        <v>5</v>
      </c>
      <c r="N25" s="86"/>
      <c r="O25" s="87"/>
      <c r="P25" s="55"/>
      <c r="Q25" s="55"/>
      <c r="R25" s="55"/>
      <c r="S25" s="55"/>
      <c r="T25" s="55"/>
    </row>
    <row r="26" spans="1:20" ht="16.5" customHeight="1" x14ac:dyDescent="0.4">
      <c r="A26" s="55"/>
      <c r="B26" s="88"/>
      <c r="C26" s="89"/>
      <c r="D26" s="90"/>
      <c r="E26" s="86"/>
      <c r="F26" s="89"/>
      <c r="G26" s="86"/>
      <c r="H26" s="86"/>
      <c r="I26" s="90"/>
      <c r="J26" s="89" t="s">
        <v>328</v>
      </c>
      <c r="K26" s="86"/>
      <c r="L26" s="90"/>
      <c r="M26" s="86" t="s">
        <v>6</v>
      </c>
      <c r="N26" s="86"/>
      <c r="O26" s="87"/>
      <c r="P26" s="55"/>
      <c r="Q26" s="55"/>
      <c r="R26" s="55"/>
      <c r="S26" s="55"/>
      <c r="T26" s="55"/>
    </row>
    <row r="27" spans="1:20" ht="16.5" customHeight="1" x14ac:dyDescent="0.4">
      <c r="A27" s="55"/>
      <c r="B27" s="88"/>
      <c r="C27" s="89"/>
      <c r="D27" s="90"/>
      <c r="E27" s="86"/>
      <c r="F27" s="89"/>
      <c r="G27" s="86"/>
      <c r="H27" s="86"/>
      <c r="I27" s="90"/>
      <c r="J27" s="89" t="s">
        <v>329</v>
      </c>
      <c r="K27" s="86"/>
      <c r="L27" s="90"/>
      <c r="M27" s="86" t="s">
        <v>7</v>
      </c>
      <c r="N27" s="86"/>
      <c r="O27" s="87"/>
      <c r="P27" s="55"/>
      <c r="Q27" s="55"/>
      <c r="R27" s="55"/>
      <c r="S27" s="55"/>
      <c r="T27" s="55"/>
    </row>
    <row r="28" spans="1:20" ht="16.5" customHeight="1" x14ac:dyDescent="0.4">
      <c r="A28" s="55"/>
      <c r="B28" s="88"/>
      <c r="C28" s="89"/>
      <c r="D28" s="90"/>
      <c r="E28" s="86"/>
      <c r="F28" s="89"/>
      <c r="G28" s="86"/>
      <c r="H28" s="86"/>
      <c r="I28" s="90"/>
      <c r="J28" s="89" t="s">
        <v>330</v>
      </c>
      <c r="K28" s="86"/>
      <c r="L28" s="90"/>
      <c r="M28" s="86"/>
      <c r="N28" s="86"/>
      <c r="O28" s="87"/>
      <c r="P28" s="55"/>
      <c r="Q28" s="55"/>
      <c r="R28" s="55"/>
      <c r="S28" s="55"/>
      <c r="T28" s="55"/>
    </row>
    <row r="29" spans="1:20" ht="16.5" customHeight="1" x14ac:dyDescent="0.4">
      <c r="A29" s="55"/>
      <c r="B29" s="88"/>
      <c r="C29" s="89"/>
      <c r="D29" s="90"/>
      <c r="E29" s="86"/>
      <c r="F29" s="89"/>
      <c r="G29" s="86"/>
      <c r="H29" s="86"/>
      <c r="I29" s="90"/>
      <c r="J29" s="89" t="s">
        <v>331</v>
      </c>
      <c r="K29" s="86"/>
      <c r="L29" s="90"/>
      <c r="M29" s="86"/>
      <c r="N29" s="86"/>
      <c r="O29" s="87"/>
      <c r="P29" s="55"/>
      <c r="Q29" s="55"/>
      <c r="R29" s="55"/>
      <c r="S29" s="55"/>
      <c r="T29" s="55"/>
    </row>
    <row r="30" spans="1:20" ht="16.5" customHeight="1" x14ac:dyDescent="0.4">
      <c r="A30" s="55"/>
      <c r="B30" s="88"/>
      <c r="C30" s="89"/>
      <c r="D30" s="90"/>
      <c r="E30" s="86"/>
      <c r="F30" s="89"/>
      <c r="G30" s="86"/>
      <c r="H30" s="86"/>
      <c r="I30" s="90"/>
      <c r="J30" s="89" t="s">
        <v>332</v>
      </c>
      <c r="K30" s="86"/>
      <c r="L30" s="90"/>
      <c r="M30" s="86"/>
      <c r="N30" s="86"/>
      <c r="O30" s="87"/>
      <c r="P30" s="55"/>
      <c r="Q30" s="55"/>
      <c r="R30" s="55"/>
      <c r="S30" s="55"/>
      <c r="T30" s="55"/>
    </row>
    <row r="31" spans="1:20" ht="16.5" customHeight="1" x14ac:dyDescent="0.4">
      <c r="A31" s="55"/>
      <c r="B31" s="88"/>
      <c r="C31" s="89"/>
      <c r="D31" s="90"/>
      <c r="E31" s="86"/>
      <c r="F31" s="89"/>
      <c r="G31" s="86"/>
      <c r="H31" s="86"/>
      <c r="I31" s="90"/>
      <c r="J31" s="89" t="s">
        <v>333</v>
      </c>
      <c r="K31" s="86"/>
      <c r="L31" s="90"/>
      <c r="M31" s="86"/>
      <c r="N31" s="86"/>
      <c r="O31" s="87"/>
      <c r="P31" s="55"/>
      <c r="Q31" s="55"/>
      <c r="R31" s="55"/>
      <c r="S31" s="55"/>
      <c r="T31" s="55"/>
    </row>
    <row r="32" spans="1:20" ht="16.5" customHeight="1" x14ac:dyDescent="0.4">
      <c r="A32" s="55"/>
      <c r="B32" s="88"/>
      <c r="C32" s="89"/>
      <c r="D32" s="90"/>
      <c r="E32" s="86"/>
      <c r="F32" s="89"/>
      <c r="G32" s="86"/>
      <c r="H32" s="86"/>
      <c r="I32" s="90"/>
      <c r="J32" s="89" t="s">
        <v>334</v>
      </c>
      <c r="K32" s="86"/>
      <c r="L32" s="90"/>
      <c r="M32" s="86"/>
      <c r="N32" s="86"/>
      <c r="O32" s="87"/>
      <c r="P32" s="55"/>
      <c r="Q32" s="55"/>
      <c r="R32" s="55"/>
      <c r="S32" s="55"/>
      <c r="T32" s="55"/>
    </row>
    <row r="33" spans="1:20" ht="16.5" customHeight="1" x14ac:dyDescent="0.35">
      <c r="A33" s="55"/>
      <c r="B33" s="88"/>
      <c r="C33" s="89"/>
      <c r="D33" s="90"/>
      <c r="E33" s="86"/>
      <c r="F33" s="89"/>
      <c r="G33" s="86"/>
      <c r="H33" s="86"/>
      <c r="I33" s="90"/>
      <c r="J33" s="89"/>
      <c r="K33" s="86"/>
      <c r="L33" s="90"/>
      <c r="M33" s="91"/>
      <c r="N33" s="92"/>
      <c r="O33" s="93"/>
      <c r="P33" s="55"/>
      <c r="Q33" s="55"/>
      <c r="R33" s="55"/>
      <c r="S33" s="55"/>
      <c r="T33" s="55"/>
    </row>
    <row r="34" spans="1:20" ht="16.5" hidden="1" customHeight="1" x14ac:dyDescent="0.4">
      <c r="A34" s="55"/>
      <c r="B34" s="82" t="s">
        <v>12</v>
      </c>
      <c r="C34" s="83" t="s">
        <v>335</v>
      </c>
      <c r="D34" s="84"/>
      <c r="E34" s="85" t="s">
        <v>11</v>
      </c>
      <c r="F34" s="83" t="s">
        <v>336</v>
      </c>
      <c r="G34" s="85"/>
      <c r="H34" s="85"/>
      <c r="I34" s="84"/>
      <c r="J34" s="83" t="s">
        <v>302</v>
      </c>
      <c r="K34" s="85"/>
      <c r="L34" s="84"/>
      <c r="M34" s="86" t="s">
        <v>302</v>
      </c>
      <c r="N34" s="86"/>
      <c r="O34" s="87"/>
      <c r="P34" s="55"/>
      <c r="Q34" s="55"/>
      <c r="R34" s="55"/>
      <c r="S34" s="55"/>
      <c r="T34" s="55"/>
    </row>
    <row r="35" spans="1:20" ht="16.5" hidden="1" customHeight="1" x14ac:dyDescent="0.4">
      <c r="A35" s="55"/>
      <c r="B35" s="88"/>
      <c r="C35" s="89"/>
      <c r="D35" s="90"/>
      <c r="E35" s="86"/>
      <c r="F35" s="89" t="s">
        <v>337</v>
      </c>
      <c r="G35" s="86"/>
      <c r="H35" s="86"/>
      <c r="I35" s="90"/>
      <c r="J35" s="89" t="s">
        <v>9</v>
      </c>
      <c r="K35" s="86"/>
      <c r="L35" s="90"/>
      <c r="M35" s="86" t="s">
        <v>5</v>
      </c>
      <c r="N35" s="86"/>
      <c r="O35" s="87"/>
      <c r="P35" s="55"/>
      <c r="Q35" s="55"/>
      <c r="R35" s="55"/>
      <c r="S35" s="55"/>
      <c r="T35" s="55"/>
    </row>
    <row r="36" spans="1:20" ht="16.5" hidden="1" customHeight="1" x14ac:dyDescent="0.4">
      <c r="A36" s="55"/>
      <c r="B36" s="88"/>
      <c r="C36" s="89"/>
      <c r="D36" s="90"/>
      <c r="E36" s="86"/>
      <c r="F36" s="89" t="s">
        <v>338</v>
      </c>
      <c r="G36" s="86"/>
      <c r="H36" s="86"/>
      <c r="I36" s="90"/>
      <c r="J36" s="89" t="s">
        <v>339</v>
      </c>
      <c r="K36" s="86"/>
      <c r="L36" s="90"/>
      <c r="M36" s="86" t="s">
        <v>6</v>
      </c>
      <c r="N36" s="86"/>
      <c r="O36" s="87"/>
      <c r="P36" s="55"/>
      <c r="Q36" s="55"/>
      <c r="R36" s="55"/>
      <c r="S36" s="55"/>
      <c r="T36" s="55"/>
    </row>
    <row r="37" spans="1:20" ht="16.5" hidden="1" customHeight="1" x14ac:dyDescent="0.4">
      <c r="A37" s="55"/>
      <c r="B37" s="88"/>
      <c r="C37" s="89"/>
      <c r="D37" s="90"/>
      <c r="E37" s="86"/>
      <c r="F37" s="89" t="s">
        <v>340</v>
      </c>
      <c r="G37" s="86"/>
      <c r="H37" s="86"/>
      <c r="I37" s="90"/>
      <c r="J37" s="89" t="s">
        <v>341</v>
      </c>
      <c r="K37" s="86"/>
      <c r="L37" s="90"/>
      <c r="M37" s="86" t="s">
        <v>7</v>
      </c>
      <c r="N37" s="86"/>
      <c r="O37" s="87"/>
      <c r="P37" s="55"/>
      <c r="Q37" s="55"/>
      <c r="R37" s="55"/>
      <c r="S37" s="55"/>
      <c r="T37" s="55"/>
    </row>
    <row r="38" spans="1:20" ht="16.5" hidden="1" customHeight="1" x14ac:dyDescent="0.35">
      <c r="A38" s="55"/>
      <c r="B38" s="88"/>
      <c r="C38" s="89"/>
      <c r="D38" s="90"/>
      <c r="E38" s="86"/>
      <c r="F38" s="89"/>
      <c r="G38" s="86"/>
      <c r="H38" s="86"/>
      <c r="I38" s="90"/>
      <c r="J38" s="89"/>
      <c r="K38" s="86"/>
      <c r="L38" s="90"/>
      <c r="M38" s="86"/>
      <c r="N38" s="86"/>
      <c r="O38" s="87"/>
      <c r="P38" s="55"/>
      <c r="Q38" s="55"/>
      <c r="R38" s="55"/>
      <c r="S38" s="55"/>
      <c r="T38" s="55"/>
    </row>
    <row r="39" spans="1:20" ht="16.5" hidden="1" customHeight="1" x14ac:dyDescent="0.4">
      <c r="A39" s="55"/>
      <c r="B39" s="88"/>
      <c r="C39" s="89"/>
      <c r="D39" s="90"/>
      <c r="E39" s="86"/>
      <c r="F39" s="89" t="s">
        <v>342</v>
      </c>
      <c r="G39" s="86"/>
      <c r="H39" s="86"/>
      <c r="I39" s="90"/>
      <c r="J39" s="89"/>
      <c r="K39" s="86"/>
      <c r="L39" s="90"/>
      <c r="M39" s="86"/>
      <c r="N39" s="86"/>
      <c r="O39" s="87"/>
      <c r="P39" s="55"/>
      <c r="Q39" s="55"/>
      <c r="R39" s="55"/>
      <c r="S39" s="55"/>
      <c r="T39" s="55"/>
    </row>
    <row r="40" spans="1:20" ht="16.5" hidden="1" customHeight="1" x14ac:dyDescent="0.35">
      <c r="A40" s="55"/>
      <c r="B40" s="88"/>
      <c r="C40" s="89"/>
      <c r="D40" s="90"/>
      <c r="E40" s="86"/>
      <c r="F40" s="89"/>
      <c r="G40" s="86"/>
      <c r="H40" s="86"/>
      <c r="I40" s="90"/>
      <c r="J40" s="89"/>
      <c r="K40" s="86"/>
      <c r="L40" s="90"/>
      <c r="M40" s="86"/>
      <c r="N40" s="86"/>
      <c r="O40" s="87"/>
      <c r="P40" s="55"/>
      <c r="Q40" s="55"/>
      <c r="R40" s="55"/>
      <c r="S40" s="55"/>
      <c r="T40" s="55"/>
    </row>
    <row r="41" spans="1:20" ht="49" customHeight="1" thickBot="1" x14ac:dyDescent="0.4">
      <c r="A41" s="55"/>
      <c r="B41" s="95" t="s">
        <v>293</v>
      </c>
      <c r="C41" s="94" t="s">
        <v>343</v>
      </c>
      <c r="D41" s="96"/>
      <c r="E41" s="97" t="s">
        <v>4</v>
      </c>
      <c r="F41" s="94" t="s">
        <v>344</v>
      </c>
      <c r="G41" s="94"/>
      <c r="H41" s="94"/>
      <c r="I41" s="96"/>
      <c r="J41" s="103" t="s">
        <v>345</v>
      </c>
      <c r="K41" s="104"/>
      <c r="L41" s="105"/>
      <c r="M41" s="100" t="s">
        <v>348</v>
      </c>
      <c r="N41" s="101"/>
      <c r="O41" s="102"/>
      <c r="P41" s="55"/>
      <c r="Q41" s="55"/>
      <c r="R41" s="55"/>
      <c r="S41" s="55"/>
      <c r="T41" s="55"/>
    </row>
    <row r="42" spans="1:20" ht="16" thickTop="1" x14ac:dyDescent="0.35"/>
  </sheetData>
  <mergeCells count="2">
    <mergeCell ref="M41:O41"/>
    <mergeCell ref="J41:L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abSelected="1" topLeftCell="A49" workbookViewId="0">
      <selection activeCell="G64" sqref="G64"/>
    </sheetView>
  </sheetViews>
  <sheetFormatPr defaultRowHeight="17" x14ac:dyDescent="0.4"/>
  <cols>
    <col min="3" max="3" width="12.7265625" customWidth="1"/>
    <col min="4" max="4" width="13.26953125" customWidth="1"/>
    <col min="7" max="7" width="59.90625" customWidth="1"/>
    <col min="8" max="8" width="15.6328125" style="2" customWidth="1"/>
    <col min="9" max="9" width="13.90625" style="2" customWidth="1"/>
    <col min="10" max="10" width="9" style="2"/>
  </cols>
  <sheetData>
    <row r="1" spans="1:10" x14ac:dyDescent="0.4">
      <c r="A1" s="1" t="s">
        <v>21</v>
      </c>
      <c r="B1" s="1"/>
      <c r="C1" s="1"/>
    </row>
    <row r="2" spans="1:10" x14ac:dyDescent="0.4">
      <c r="A2" s="3"/>
      <c r="B2" s="114" t="s">
        <v>13</v>
      </c>
      <c r="C2" s="114"/>
      <c r="D2" s="14" t="s">
        <v>22</v>
      </c>
      <c r="E2" s="14" t="s">
        <v>23</v>
      </c>
      <c r="F2" s="14" t="s">
        <v>14</v>
      </c>
      <c r="G2" s="4" t="s">
        <v>15</v>
      </c>
      <c r="H2" s="4" t="s">
        <v>24</v>
      </c>
    </row>
    <row r="3" spans="1:10" x14ac:dyDescent="0.4">
      <c r="A3" s="111" t="s">
        <v>25</v>
      </c>
      <c r="B3" s="114" t="s">
        <v>26</v>
      </c>
      <c r="C3" s="114"/>
      <c r="D3" s="5" t="s">
        <v>27</v>
      </c>
      <c r="E3" s="5">
        <v>5</v>
      </c>
      <c r="F3" s="5" t="s">
        <v>28</v>
      </c>
      <c r="G3" s="6" t="s">
        <v>17</v>
      </c>
      <c r="H3" s="7" t="s">
        <v>29</v>
      </c>
      <c r="I3" s="2" t="s">
        <v>30</v>
      </c>
      <c r="J3" s="2" t="s">
        <v>31</v>
      </c>
    </row>
    <row r="4" spans="1:10" x14ac:dyDescent="0.4">
      <c r="A4" s="113"/>
      <c r="B4" s="114" t="s">
        <v>32</v>
      </c>
      <c r="C4" s="114"/>
      <c r="D4" s="5" t="s">
        <v>27</v>
      </c>
      <c r="E4" s="46">
        <v>32</v>
      </c>
      <c r="F4" s="5" t="s">
        <v>16</v>
      </c>
      <c r="G4" s="6" t="s">
        <v>33</v>
      </c>
      <c r="H4" s="7" t="s">
        <v>34</v>
      </c>
      <c r="I4" s="2" t="s">
        <v>35</v>
      </c>
      <c r="J4" s="2" t="s">
        <v>36</v>
      </c>
    </row>
    <row r="5" spans="1:10" ht="62" x14ac:dyDescent="0.4">
      <c r="A5" s="111" t="s">
        <v>37</v>
      </c>
      <c r="B5" s="114" t="s">
        <v>38</v>
      </c>
      <c r="C5" s="14" t="s">
        <v>39</v>
      </c>
      <c r="D5" s="5" t="s">
        <v>27</v>
      </c>
      <c r="E5" s="5">
        <v>100</v>
      </c>
      <c r="F5" s="5" t="s">
        <v>28</v>
      </c>
      <c r="G5" s="8" t="s">
        <v>40</v>
      </c>
      <c r="H5" s="7" t="s">
        <v>41</v>
      </c>
      <c r="I5" s="2" t="s">
        <v>42</v>
      </c>
      <c r="J5" s="2" t="s">
        <v>131</v>
      </c>
    </row>
    <row r="6" spans="1:10" x14ac:dyDescent="0.4">
      <c r="A6" s="112"/>
      <c r="B6" s="114"/>
      <c r="C6" s="14" t="s">
        <v>18</v>
      </c>
      <c r="D6" s="5" t="s">
        <v>27</v>
      </c>
      <c r="E6" s="5">
        <v>20</v>
      </c>
      <c r="F6" s="5" t="s">
        <v>43</v>
      </c>
      <c r="G6" s="8"/>
      <c r="H6" s="7" t="s">
        <v>44</v>
      </c>
      <c r="I6" s="2" t="s">
        <v>45</v>
      </c>
      <c r="J6" s="2" t="s">
        <v>46</v>
      </c>
    </row>
    <row r="7" spans="1:10" x14ac:dyDescent="0.4">
      <c r="A7" s="112"/>
      <c r="B7" s="114"/>
      <c r="C7" s="14" t="s">
        <v>47</v>
      </c>
      <c r="D7" s="5" t="s">
        <v>27</v>
      </c>
      <c r="E7" s="5">
        <v>20</v>
      </c>
      <c r="F7" s="5" t="s">
        <v>43</v>
      </c>
      <c r="G7" s="9"/>
      <c r="H7" s="7" t="s">
        <v>48</v>
      </c>
      <c r="I7" s="2" t="s">
        <v>49</v>
      </c>
      <c r="J7" s="2" t="s">
        <v>50</v>
      </c>
    </row>
    <row r="8" spans="1:10" x14ac:dyDescent="0.4">
      <c r="A8" s="112"/>
      <c r="B8" s="114"/>
      <c r="C8" s="14" t="s">
        <v>51</v>
      </c>
      <c r="D8" s="5" t="s">
        <v>27</v>
      </c>
      <c r="E8" s="5">
        <v>20</v>
      </c>
      <c r="F8" s="5"/>
      <c r="G8" s="9"/>
      <c r="H8" s="7" t="s">
        <v>52</v>
      </c>
      <c r="I8" s="2" t="s">
        <v>53</v>
      </c>
      <c r="J8" s="2" t="s">
        <v>54</v>
      </c>
    </row>
    <row r="9" spans="1:10" x14ac:dyDescent="0.4">
      <c r="A9" s="112"/>
      <c r="B9" s="114"/>
      <c r="C9" s="14" t="s">
        <v>55</v>
      </c>
      <c r="D9" s="5" t="s">
        <v>27</v>
      </c>
      <c r="E9" s="5">
        <v>20</v>
      </c>
      <c r="F9" s="5"/>
      <c r="G9" s="9"/>
      <c r="H9" s="7" t="s">
        <v>56</v>
      </c>
      <c r="I9" s="2" t="s">
        <v>57</v>
      </c>
      <c r="J9" s="2" t="s">
        <v>58</v>
      </c>
    </row>
    <row r="10" spans="1:10" x14ac:dyDescent="0.4">
      <c r="A10" s="112"/>
      <c r="B10" s="114"/>
      <c r="C10" s="14" t="s">
        <v>19</v>
      </c>
      <c r="D10" s="5" t="s">
        <v>27</v>
      </c>
      <c r="E10" s="5">
        <v>20</v>
      </c>
      <c r="F10" s="5" t="s">
        <v>28</v>
      </c>
      <c r="G10" s="9"/>
      <c r="H10" s="7" t="s">
        <v>59</v>
      </c>
      <c r="I10" s="2" t="s">
        <v>60</v>
      </c>
      <c r="J10" s="2" t="s">
        <v>61</v>
      </c>
    </row>
    <row r="11" spans="1:10" x14ac:dyDescent="0.4">
      <c r="A11" s="112"/>
      <c r="B11" s="114"/>
      <c r="C11" s="14" t="s">
        <v>224</v>
      </c>
      <c r="D11" s="5" t="s">
        <v>62</v>
      </c>
      <c r="E11" s="5">
        <v>5</v>
      </c>
      <c r="F11" s="5" t="s">
        <v>16</v>
      </c>
      <c r="G11" s="9"/>
      <c r="H11" s="7" t="s">
        <v>63</v>
      </c>
      <c r="I11" s="2" t="s">
        <v>64</v>
      </c>
      <c r="J11" s="2" t="s">
        <v>227</v>
      </c>
    </row>
    <row r="12" spans="1:10" x14ac:dyDescent="0.4">
      <c r="A12" s="113"/>
      <c r="B12" s="114"/>
      <c r="C12" s="14" t="s">
        <v>225</v>
      </c>
      <c r="D12" s="5" t="s">
        <v>27</v>
      </c>
      <c r="E12" s="5">
        <v>4</v>
      </c>
      <c r="F12" s="5"/>
      <c r="G12" s="9"/>
      <c r="H12" s="7" t="s">
        <v>238</v>
      </c>
      <c r="I12" s="2" t="s">
        <v>239</v>
      </c>
      <c r="J12" s="2" t="s">
        <v>226</v>
      </c>
    </row>
    <row r="13" spans="1:10" x14ac:dyDescent="0.4">
      <c r="A13" s="114" t="s">
        <v>65</v>
      </c>
      <c r="B13" s="109" t="s">
        <v>181</v>
      </c>
      <c r="C13" s="110"/>
      <c r="D13" s="5" t="s">
        <v>27</v>
      </c>
      <c r="E13" s="5">
        <v>1</v>
      </c>
      <c r="F13" s="5" t="s">
        <v>43</v>
      </c>
      <c r="G13" s="42" t="s">
        <v>205</v>
      </c>
      <c r="H13" s="7" t="s">
        <v>66</v>
      </c>
      <c r="I13" s="2" t="s">
        <v>30</v>
      </c>
      <c r="J13" s="2" t="s">
        <v>31</v>
      </c>
    </row>
    <row r="14" spans="1:10" x14ac:dyDescent="0.4">
      <c r="A14" s="114"/>
      <c r="B14" s="109" t="s">
        <v>67</v>
      </c>
      <c r="C14" s="110"/>
      <c r="D14" s="5" t="s">
        <v>27</v>
      </c>
      <c r="E14" s="5">
        <v>100</v>
      </c>
      <c r="F14" s="5" t="s">
        <v>43</v>
      </c>
      <c r="G14" s="6" t="s">
        <v>43</v>
      </c>
      <c r="H14" s="7" t="s">
        <v>68</v>
      </c>
      <c r="I14" s="2" t="s">
        <v>35</v>
      </c>
      <c r="J14" s="2" t="s">
        <v>36</v>
      </c>
    </row>
    <row r="15" spans="1:10" x14ac:dyDescent="0.4">
      <c r="I15" s="2" t="s">
        <v>69</v>
      </c>
      <c r="J15" s="2" t="s">
        <v>70</v>
      </c>
    </row>
    <row r="16" spans="1:10" x14ac:dyDescent="0.4">
      <c r="I16" s="2" t="s">
        <v>71</v>
      </c>
      <c r="J16" s="2" t="s">
        <v>72</v>
      </c>
    </row>
    <row r="17" spans="1:10" x14ac:dyDescent="0.4">
      <c r="A17" s="1" t="s">
        <v>211</v>
      </c>
      <c r="B17" s="1"/>
      <c r="C17" s="1"/>
    </row>
    <row r="18" spans="1:10" x14ac:dyDescent="0.4">
      <c r="A18" s="3"/>
      <c r="B18" s="109" t="s">
        <v>13</v>
      </c>
      <c r="C18" s="110"/>
      <c r="D18" s="14" t="s">
        <v>22</v>
      </c>
      <c r="E18" s="14" t="s">
        <v>23</v>
      </c>
      <c r="F18" s="14" t="s">
        <v>14</v>
      </c>
      <c r="G18" s="4" t="s">
        <v>15</v>
      </c>
      <c r="H18" s="4" t="s">
        <v>24</v>
      </c>
    </row>
    <row r="19" spans="1:10" x14ac:dyDescent="0.4">
      <c r="A19" s="111" t="s">
        <v>25</v>
      </c>
      <c r="B19" s="109" t="s">
        <v>1</v>
      </c>
      <c r="C19" s="110"/>
      <c r="D19" s="5" t="s">
        <v>27</v>
      </c>
      <c r="E19" s="5">
        <v>5</v>
      </c>
      <c r="F19" s="5" t="s">
        <v>16</v>
      </c>
      <c r="G19" s="6" t="s">
        <v>212</v>
      </c>
      <c r="H19" s="7" t="s">
        <v>29</v>
      </c>
      <c r="I19" s="2" t="s">
        <v>30</v>
      </c>
      <c r="J19" s="2" t="s">
        <v>213</v>
      </c>
    </row>
    <row r="20" spans="1:10" x14ac:dyDescent="0.4">
      <c r="A20" s="113"/>
      <c r="B20" s="109" t="s">
        <v>32</v>
      </c>
      <c r="C20" s="110"/>
      <c r="D20" s="5" t="s">
        <v>27</v>
      </c>
      <c r="E20" s="46">
        <v>32</v>
      </c>
      <c r="F20" s="5" t="s">
        <v>16</v>
      </c>
      <c r="G20" s="6" t="s">
        <v>33</v>
      </c>
      <c r="H20" s="7" t="s">
        <v>34</v>
      </c>
      <c r="I20" s="2" t="s">
        <v>35</v>
      </c>
      <c r="J20" s="2" t="s">
        <v>102</v>
      </c>
    </row>
    <row r="21" spans="1:10" x14ac:dyDescent="0.4">
      <c r="A21" s="111" t="s">
        <v>20</v>
      </c>
      <c r="B21" s="111" t="s">
        <v>38</v>
      </c>
      <c r="C21" s="14" t="s">
        <v>75</v>
      </c>
      <c r="D21" s="5" t="s">
        <v>27</v>
      </c>
      <c r="E21" s="5">
        <v>20</v>
      </c>
      <c r="F21" s="5" t="s">
        <v>16</v>
      </c>
      <c r="G21" s="8"/>
      <c r="H21" s="7" t="s">
        <v>59</v>
      </c>
      <c r="I21" s="2" t="s">
        <v>60</v>
      </c>
      <c r="J21" s="2" t="s">
        <v>61</v>
      </c>
    </row>
    <row r="22" spans="1:10" x14ac:dyDescent="0.4">
      <c r="A22" s="112"/>
      <c r="B22" s="112"/>
      <c r="C22" s="14" t="s">
        <v>228</v>
      </c>
      <c r="D22" s="5" t="s">
        <v>27</v>
      </c>
      <c r="E22" s="5">
        <v>20</v>
      </c>
      <c r="F22" s="5" t="s">
        <v>16</v>
      </c>
      <c r="G22" s="8"/>
      <c r="H22" s="7" t="s">
        <v>214</v>
      </c>
      <c r="I22" s="2" t="s">
        <v>215</v>
      </c>
      <c r="J22" s="2" t="s">
        <v>216</v>
      </c>
    </row>
    <row r="23" spans="1:10" x14ac:dyDescent="0.4">
      <c r="A23" s="112"/>
      <c r="B23" s="112"/>
      <c r="C23" s="14" t="s">
        <v>218</v>
      </c>
      <c r="D23" s="5" t="s">
        <v>27</v>
      </c>
      <c r="E23" s="5">
        <v>1</v>
      </c>
      <c r="F23" s="5" t="s">
        <v>16</v>
      </c>
      <c r="G23" s="8" t="s">
        <v>220</v>
      </c>
      <c r="H23" s="7" t="s">
        <v>241</v>
      </c>
      <c r="I23" s="2" t="s">
        <v>236</v>
      </c>
      <c r="J23" s="2">
        <v>1</v>
      </c>
    </row>
    <row r="24" spans="1:10" x14ac:dyDescent="0.4">
      <c r="A24" s="113"/>
      <c r="B24" s="113"/>
      <c r="C24" s="14" t="s">
        <v>219</v>
      </c>
      <c r="D24" s="5" t="s">
        <v>27</v>
      </c>
      <c r="E24" s="5">
        <v>1</v>
      </c>
      <c r="F24" s="5"/>
      <c r="G24" s="8" t="s">
        <v>221</v>
      </c>
      <c r="H24" s="7" t="s">
        <v>242</v>
      </c>
      <c r="I24" s="2" t="s">
        <v>237</v>
      </c>
      <c r="J24" s="2" t="s">
        <v>222</v>
      </c>
    </row>
    <row r="25" spans="1:10" x14ac:dyDescent="0.4">
      <c r="A25" s="114" t="s">
        <v>65</v>
      </c>
      <c r="B25" s="109" t="s">
        <v>217</v>
      </c>
      <c r="C25" s="110"/>
      <c r="D25" s="5" t="s">
        <v>27</v>
      </c>
      <c r="E25" s="5">
        <v>1</v>
      </c>
      <c r="F25" s="5" t="s">
        <v>43</v>
      </c>
      <c r="G25" s="6" t="s">
        <v>43</v>
      </c>
      <c r="H25" s="7" t="s">
        <v>66</v>
      </c>
      <c r="I25" s="2" t="s">
        <v>30</v>
      </c>
      <c r="J25" s="2" t="s">
        <v>213</v>
      </c>
    </row>
    <row r="26" spans="1:10" x14ac:dyDescent="0.4">
      <c r="A26" s="114"/>
      <c r="B26" s="109" t="s">
        <v>67</v>
      </c>
      <c r="C26" s="110"/>
      <c r="D26" s="5" t="s">
        <v>27</v>
      </c>
      <c r="E26" s="5">
        <v>100</v>
      </c>
      <c r="F26" s="5" t="s">
        <v>43</v>
      </c>
      <c r="G26" s="6" t="s">
        <v>278</v>
      </c>
      <c r="H26" s="7" t="s">
        <v>68</v>
      </c>
      <c r="I26" s="2" t="s">
        <v>35</v>
      </c>
      <c r="J26" s="2" t="s">
        <v>102</v>
      </c>
    </row>
    <row r="27" spans="1:10" x14ac:dyDescent="0.4">
      <c r="I27" s="2" t="s">
        <v>69</v>
      </c>
      <c r="J27" s="2" t="s">
        <v>70</v>
      </c>
    </row>
    <row r="28" spans="1:10" x14ac:dyDescent="0.4">
      <c r="I28" s="2" t="s">
        <v>71</v>
      </c>
      <c r="J28" s="2" t="s">
        <v>72</v>
      </c>
    </row>
    <row r="29" spans="1:10" x14ac:dyDescent="0.4">
      <c r="A29" s="1" t="s">
        <v>223</v>
      </c>
      <c r="B29" s="1"/>
      <c r="C29" s="1"/>
    </row>
    <row r="30" spans="1:10" x14ac:dyDescent="0.4">
      <c r="A30" s="3"/>
      <c r="B30" s="109" t="s">
        <v>13</v>
      </c>
      <c r="C30" s="110"/>
      <c r="D30" s="14" t="s">
        <v>22</v>
      </c>
      <c r="E30" s="14" t="s">
        <v>23</v>
      </c>
      <c r="F30" s="14" t="s">
        <v>14</v>
      </c>
      <c r="G30" s="4" t="s">
        <v>15</v>
      </c>
      <c r="H30" s="4" t="s">
        <v>24</v>
      </c>
    </row>
    <row r="31" spans="1:10" x14ac:dyDescent="0.4">
      <c r="A31" s="111" t="s">
        <v>25</v>
      </c>
      <c r="B31" s="109" t="s">
        <v>1</v>
      </c>
      <c r="C31" s="110"/>
      <c r="D31" s="5" t="s">
        <v>27</v>
      </c>
      <c r="E31" s="5">
        <v>5</v>
      </c>
      <c r="F31" s="5" t="s">
        <v>16</v>
      </c>
      <c r="G31" s="6" t="s">
        <v>230</v>
      </c>
      <c r="H31" s="7" t="s">
        <v>29</v>
      </c>
      <c r="I31" s="2" t="s">
        <v>30</v>
      </c>
      <c r="J31" s="2" t="s">
        <v>290</v>
      </c>
    </row>
    <row r="32" spans="1:10" x14ac:dyDescent="0.4">
      <c r="A32" s="113"/>
      <c r="B32" s="109" t="s">
        <v>32</v>
      </c>
      <c r="C32" s="110"/>
      <c r="D32" s="5" t="s">
        <v>27</v>
      </c>
      <c r="E32" s="46">
        <v>32</v>
      </c>
      <c r="F32" s="5" t="s">
        <v>16</v>
      </c>
      <c r="G32" s="6" t="s">
        <v>33</v>
      </c>
      <c r="H32" s="7" t="s">
        <v>34</v>
      </c>
      <c r="I32" s="2" t="s">
        <v>35</v>
      </c>
      <c r="J32" s="2" t="s">
        <v>102</v>
      </c>
    </row>
    <row r="33" spans="1:10" x14ac:dyDescent="0.4">
      <c r="A33" s="111" t="s">
        <v>20</v>
      </c>
      <c r="B33" s="111" t="s">
        <v>38</v>
      </c>
      <c r="C33" s="14" t="s">
        <v>75</v>
      </c>
      <c r="D33" s="5" t="s">
        <v>27</v>
      </c>
      <c r="E33" s="5">
        <v>20</v>
      </c>
      <c r="F33" s="5"/>
      <c r="G33" s="8"/>
      <c r="H33" s="7" t="s">
        <v>59</v>
      </c>
      <c r="I33" s="2" t="s">
        <v>60</v>
      </c>
      <c r="J33" s="2" t="s">
        <v>61</v>
      </c>
    </row>
    <row r="34" spans="1:10" x14ac:dyDescent="0.4">
      <c r="A34" s="112"/>
      <c r="B34" s="112"/>
      <c r="C34" s="14" t="s">
        <v>229</v>
      </c>
      <c r="D34" s="5" t="s">
        <v>27</v>
      </c>
      <c r="E34" s="5">
        <v>5</v>
      </c>
      <c r="F34" s="5"/>
      <c r="G34" s="8"/>
      <c r="H34" s="7" t="s">
        <v>240</v>
      </c>
      <c r="I34" s="2" t="s">
        <v>231</v>
      </c>
      <c r="J34" s="2" t="s">
        <v>232</v>
      </c>
    </row>
    <row r="35" spans="1:10" x14ac:dyDescent="0.4">
      <c r="A35" s="113"/>
      <c r="B35" s="112"/>
      <c r="C35" s="14" t="s">
        <v>228</v>
      </c>
      <c r="D35" s="5" t="s">
        <v>27</v>
      </c>
      <c r="E35" s="5">
        <v>20</v>
      </c>
      <c r="F35" s="5" t="s">
        <v>16</v>
      </c>
      <c r="G35" s="8"/>
      <c r="H35" s="7" t="s">
        <v>214</v>
      </c>
      <c r="I35" s="2" t="s">
        <v>215</v>
      </c>
      <c r="J35" s="2" t="s">
        <v>216</v>
      </c>
    </row>
    <row r="36" spans="1:10" x14ac:dyDescent="0.4">
      <c r="A36" s="114" t="s">
        <v>65</v>
      </c>
      <c r="B36" s="109" t="s">
        <v>217</v>
      </c>
      <c r="C36" s="110"/>
      <c r="D36" s="5" t="s">
        <v>27</v>
      </c>
      <c r="E36" s="5">
        <v>1</v>
      </c>
      <c r="F36" s="5" t="s">
        <v>43</v>
      </c>
      <c r="G36" s="6" t="s">
        <v>43</v>
      </c>
      <c r="H36" s="7" t="s">
        <v>66</v>
      </c>
      <c r="I36" s="2" t="s">
        <v>30</v>
      </c>
      <c r="J36" s="2" t="s">
        <v>213</v>
      </c>
    </row>
    <row r="37" spans="1:10" x14ac:dyDescent="0.4">
      <c r="A37" s="114"/>
      <c r="B37" s="109" t="s">
        <v>67</v>
      </c>
      <c r="C37" s="110"/>
      <c r="D37" s="5" t="s">
        <v>27</v>
      </c>
      <c r="E37" s="5">
        <v>100</v>
      </c>
      <c r="F37" s="5" t="s">
        <v>43</v>
      </c>
      <c r="G37" s="6" t="s">
        <v>43</v>
      </c>
      <c r="H37" s="7" t="s">
        <v>68</v>
      </c>
      <c r="I37" s="2" t="s">
        <v>35</v>
      </c>
      <c r="J37" s="2" t="s">
        <v>102</v>
      </c>
    </row>
    <row r="38" spans="1:10" x14ac:dyDescent="0.4">
      <c r="I38" s="2" t="s">
        <v>69</v>
      </c>
      <c r="J38" s="2" t="s">
        <v>70</v>
      </c>
    </row>
    <row r="39" spans="1:10" x14ac:dyDescent="0.4">
      <c r="I39" s="2" t="s">
        <v>71</v>
      </c>
      <c r="J39" s="2" t="s">
        <v>72</v>
      </c>
    </row>
    <row r="41" spans="1:10" x14ac:dyDescent="0.4">
      <c r="A41" s="1" t="s">
        <v>103</v>
      </c>
      <c r="B41" s="1"/>
      <c r="C41" s="1"/>
    </row>
    <row r="42" spans="1:10" x14ac:dyDescent="0.4">
      <c r="A42" s="11"/>
      <c r="B42" s="117" t="s">
        <v>13</v>
      </c>
      <c r="C42" s="118"/>
      <c r="D42" s="43" t="s">
        <v>80</v>
      </c>
      <c r="E42" s="43" t="s">
        <v>81</v>
      </c>
      <c r="F42" s="43" t="s">
        <v>14</v>
      </c>
      <c r="G42" s="12" t="s">
        <v>15</v>
      </c>
      <c r="H42" s="12" t="s">
        <v>82</v>
      </c>
      <c r="I42" s="15"/>
    </row>
    <row r="43" spans="1:10" x14ac:dyDescent="0.4">
      <c r="A43" s="115" t="s">
        <v>83</v>
      </c>
      <c r="B43" s="117" t="s">
        <v>84</v>
      </c>
      <c r="C43" s="118"/>
      <c r="D43" s="5" t="s">
        <v>76</v>
      </c>
      <c r="E43" s="5">
        <v>5</v>
      </c>
      <c r="F43" s="5" t="s">
        <v>85</v>
      </c>
      <c r="G43" s="6" t="s">
        <v>104</v>
      </c>
      <c r="H43" s="7" t="s">
        <v>86</v>
      </c>
      <c r="I43" s="2" t="s">
        <v>87</v>
      </c>
      <c r="J43" s="2" t="s">
        <v>105</v>
      </c>
    </row>
    <row r="44" spans="1:10" x14ac:dyDescent="0.4">
      <c r="A44" s="116"/>
      <c r="B44" s="117" t="s">
        <v>88</v>
      </c>
      <c r="C44" s="118"/>
      <c r="D44" s="5" t="s">
        <v>76</v>
      </c>
      <c r="E44" s="46">
        <v>32</v>
      </c>
      <c r="F44" s="5" t="s">
        <v>85</v>
      </c>
      <c r="G44" s="6" t="s">
        <v>89</v>
      </c>
      <c r="H44" s="7" t="s">
        <v>90</v>
      </c>
      <c r="I44" s="2" t="s">
        <v>91</v>
      </c>
      <c r="J44" s="2" t="s">
        <v>92</v>
      </c>
    </row>
    <row r="45" spans="1:10" x14ac:dyDescent="0.4">
      <c r="A45" s="115" t="s">
        <v>20</v>
      </c>
      <c r="B45" s="115" t="s">
        <v>93</v>
      </c>
      <c r="C45" s="13" t="s">
        <v>106</v>
      </c>
      <c r="D45" s="5" t="s">
        <v>76</v>
      </c>
      <c r="E45" s="5">
        <v>20</v>
      </c>
      <c r="F45" s="5" t="s">
        <v>85</v>
      </c>
      <c r="G45" s="8"/>
      <c r="H45" s="7" t="s">
        <v>107</v>
      </c>
      <c r="I45" s="2" t="s">
        <v>108</v>
      </c>
      <c r="J45" s="2" t="s">
        <v>94</v>
      </c>
    </row>
    <row r="46" spans="1:10" x14ac:dyDescent="0.4">
      <c r="A46" s="119"/>
      <c r="B46" s="119"/>
      <c r="C46" s="13" t="s">
        <v>126</v>
      </c>
      <c r="D46" s="5" t="s">
        <v>76</v>
      </c>
      <c r="E46" s="5">
        <v>20</v>
      </c>
      <c r="F46" s="5" t="s">
        <v>28</v>
      </c>
      <c r="G46" s="8"/>
      <c r="H46" s="7" t="s">
        <v>121</v>
      </c>
      <c r="I46" s="2" t="s">
        <v>123</v>
      </c>
      <c r="J46" s="2" t="s">
        <v>128</v>
      </c>
    </row>
    <row r="47" spans="1:10" x14ac:dyDescent="0.4">
      <c r="A47" s="119"/>
      <c r="B47" s="119"/>
      <c r="C47" s="13" t="s">
        <v>125</v>
      </c>
      <c r="D47" s="5" t="s">
        <v>76</v>
      </c>
      <c r="E47" s="5">
        <v>20</v>
      </c>
      <c r="F47" s="5" t="s">
        <v>28</v>
      </c>
      <c r="G47" s="8"/>
      <c r="H47" s="7" t="s">
        <v>122</v>
      </c>
      <c r="I47" s="2" t="s">
        <v>124</v>
      </c>
      <c r="J47" s="2" t="s">
        <v>127</v>
      </c>
    </row>
    <row r="48" spans="1:10" x14ac:dyDescent="0.4">
      <c r="A48" s="119"/>
      <c r="B48" s="119"/>
      <c r="C48" s="13" t="s">
        <v>109</v>
      </c>
      <c r="D48" s="5" t="s">
        <v>76</v>
      </c>
      <c r="E48" s="5">
        <v>20</v>
      </c>
      <c r="F48" s="5" t="s">
        <v>85</v>
      </c>
      <c r="G48" s="8"/>
      <c r="H48" s="7" t="s">
        <v>110</v>
      </c>
      <c r="I48" s="2" t="s">
        <v>111</v>
      </c>
      <c r="J48" s="2" t="s">
        <v>112</v>
      </c>
    </row>
    <row r="49" spans="1:11" x14ac:dyDescent="0.4">
      <c r="A49" s="119"/>
      <c r="B49" s="119"/>
      <c r="C49" s="13" t="s">
        <v>75</v>
      </c>
      <c r="D49" s="5" t="s">
        <v>76</v>
      </c>
      <c r="E49" s="5">
        <v>20</v>
      </c>
      <c r="F49" s="5" t="s">
        <v>85</v>
      </c>
      <c r="G49" s="8"/>
      <c r="H49" s="7" t="s">
        <v>77</v>
      </c>
      <c r="I49" s="2" t="s">
        <v>79</v>
      </c>
      <c r="J49" s="2" t="s">
        <v>95</v>
      </c>
    </row>
    <row r="50" spans="1:11" x14ac:dyDescent="0.4">
      <c r="A50" s="119"/>
      <c r="B50" s="119"/>
      <c r="C50" s="13" t="s">
        <v>113</v>
      </c>
      <c r="D50" s="5" t="s">
        <v>76</v>
      </c>
      <c r="E50" s="5">
        <v>100</v>
      </c>
      <c r="F50" s="5" t="s">
        <v>85</v>
      </c>
      <c r="G50" s="8"/>
      <c r="H50" s="7" t="s">
        <v>114</v>
      </c>
      <c r="I50" s="2" t="s">
        <v>115</v>
      </c>
      <c r="J50" s="2" t="s">
        <v>116</v>
      </c>
    </row>
    <row r="51" spans="1:11" x14ac:dyDescent="0.4">
      <c r="A51" s="116"/>
      <c r="B51" s="116"/>
      <c r="C51" s="13" t="s">
        <v>117</v>
      </c>
      <c r="D51" s="5" t="s">
        <v>76</v>
      </c>
      <c r="E51" s="5">
        <v>50</v>
      </c>
      <c r="F51" s="5" t="s">
        <v>85</v>
      </c>
      <c r="G51" s="41" t="s">
        <v>205</v>
      </c>
      <c r="H51" s="7" t="s">
        <v>118</v>
      </c>
      <c r="I51" s="2" t="s">
        <v>119</v>
      </c>
      <c r="J51" s="2" t="s">
        <v>120</v>
      </c>
    </row>
    <row r="52" spans="1:11" x14ac:dyDescent="0.4">
      <c r="A52" s="120" t="s">
        <v>96</v>
      </c>
      <c r="B52" s="117" t="s">
        <v>181</v>
      </c>
      <c r="C52" s="118"/>
      <c r="D52" s="5" t="s">
        <v>76</v>
      </c>
      <c r="E52" s="5">
        <v>1</v>
      </c>
      <c r="F52" s="5" t="s">
        <v>97</v>
      </c>
      <c r="G52" s="42" t="s">
        <v>205</v>
      </c>
      <c r="H52" s="7" t="s">
        <v>98</v>
      </c>
      <c r="I52" s="2" t="s">
        <v>87</v>
      </c>
      <c r="J52" s="2" t="s">
        <v>105</v>
      </c>
    </row>
    <row r="53" spans="1:11" x14ac:dyDescent="0.4">
      <c r="A53" s="120"/>
      <c r="B53" s="117" t="s">
        <v>99</v>
      </c>
      <c r="C53" s="118"/>
      <c r="D53" s="5" t="s">
        <v>76</v>
      </c>
      <c r="E53" s="5">
        <v>100</v>
      </c>
      <c r="F53" s="5" t="s">
        <v>97</v>
      </c>
      <c r="G53" s="6" t="s">
        <v>279</v>
      </c>
      <c r="H53" s="7" t="s">
        <v>100</v>
      </c>
      <c r="I53" s="2" t="s">
        <v>91</v>
      </c>
      <c r="J53" s="2" t="s">
        <v>102</v>
      </c>
    </row>
    <row r="54" spans="1:11" x14ac:dyDescent="0.4">
      <c r="I54" s="2" t="s">
        <v>73</v>
      </c>
      <c r="J54" s="2" t="s">
        <v>74</v>
      </c>
    </row>
    <row r="55" spans="1:11" x14ac:dyDescent="0.4">
      <c r="I55" s="2" t="s">
        <v>78</v>
      </c>
      <c r="J55" s="2" t="s">
        <v>101</v>
      </c>
    </row>
    <row r="56" spans="1:11" s="52" customFormat="1" ht="15.5" x14ac:dyDescent="0.35">
      <c r="A56" s="52" t="s">
        <v>291</v>
      </c>
      <c r="H56" s="53"/>
      <c r="I56" s="53"/>
      <c r="J56" s="53"/>
    </row>
    <row r="57" spans="1:11" x14ac:dyDescent="0.4">
      <c r="A57" s="48"/>
      <c r="B57" s="107" t="s">
        <v>13</v>
      </c>
      <c r="C57" s="108"/>
      <c r="D57" s="50" t="s">
        <v>22</v>
      </c>
      <c r="E57" s="50" t="s">
        <v>23</v>
      </c>
      <c r="F57" s="50" t="s">
        <v>14</v>
      </c>
      <c r="G57" s="51" t="s">
        <v>15</v>
      </c>
      <c r="H57" s="51" t="s">
        <v>24</v>
      </c>
    </row>
    <row r="58" spans="1:11" x14ac:dyDescent="0.4">
      <c r="A58" s="54"/>
      <c r="B58" s="54"/>
      <c r="C58" s="49" t="s">
        <v>126</v>
      </c>
      <c r="D58" s="5" t="s">
        <v>27</v>
      </c>
      <c r="E58" s="46">
        <v>32</v>
      </c>
      <c r="F58" s="5" t="s">
        <v>16</v>
      </c>
      <c r="G58" s="8" t="s">
        <v>292</v>
      </c>
      <c r="H58" s="7" t="s">
        <v>34</v>
      </c>
      <c r="I58" s="2" t="s">
        <v>347</v>
      </c>
    </row>
    <row r="59" spans="1:11" x14ac:dyDescent="0.4">
      <c r="A59" s="106" t="s">
        <v>65</v>
      </c>
      <c r="B59" s="107" t="s">
        <v>181</v>
      </c>
      <c r="C59" s="108"/>
      <c r="D59" s="5" t="s">
        <v>27</v>
      </c>
      <c r="E59" s="5">
        <v>1</v>
      </c>
      <c r="F59" s="5" t="s">
        <v>43</v>
      </c>
      <c r="G59" s="42" t="s">
        <v>205</v>
      </c>
      <c r="H59" s="7" t="s">
        <v>66</v>
      </c>
      <c r="I59" s="99" t="s">
        <v>349</v>
      </c>
      <c r="J59" s="99"/>
      <c r="K59" s="99"/>
    </row>
    <row r="60" spans="1:11" x14ac:dyDescent="0.4">
      <c r="A60" s="106"/>
      <c r="B60" s="107" t="s">
        <v>67</v>
      </c>
      <c r="C60" s="108"/>
      <c r="D60" s="5" t="s">
        <v>27</v>
      </c>
      <c r="E60" s="5">
        <v>100</v>
      </c>
      <c r="F60" s="5" t="s">
        <v>43</v>
      </c>
      <c r="G60" s="42" t="s">
        <v>205</v>
      </c>
      <c r="H60" s="7" t="s">
        <v>68</v>
      </c>
      <c r="I60" s="2" t="s">
        <v>354</v>
      </c>
    </row>
    <row r="61" spans="1:11" x14ac:dyDescent="0.4">
      <c r="I61" s="2" t="s">
        <v>350</v>
      </c>
    </row>
    <row r="62" spans="1:11" x14ac:dyDescent="0.4">
      <c r="I62" s="2" t="s">
        <v>351</v>
      </c>
    </row>
    <row r="63" spans="1:11" x14ac:dyDescent="0.4">
      <c r="I63" s="2" t="s">
        <v>352</v>
      </c>
    </row>
  </sheetData>
  <mergeCells count="40">
    <mergeCell ref="A33:A35"/>
    <mergeCell ref="B33:B35"/>
    <mergeCell ref="B2:C2"/>
    <mergeCell ref="A3:A4"/>
    <mergeCell ref="B3:C3"/>
    <mergeCell ref="B4:C4"/>
    <mergeCell ref="A5:A12"/>
    <mergeCell ref="B5:B12"/>
    <mergeCell ref="A13:A14"/>
    <mergeCell ref="B13:C13"/>
    <mergeCell ref="B14:C14"/>
    <mergeCell ref="B18:C18"/>
    <mergeCell ref="A19:A20"/>
    <mergeCell ref="B19:C19"/>
    <mergeCell ref="B20:C20"/>
    <mergeCell ref="A25:A26"/>
    <mergeCell ref="A21:A24"/>
    <mergeCell ref="B21:B24"/>
    <mergeCell ref="B30:C30"/>
    <mergeCell ref="A31:A32"/>
    <mergeCell ref="B31:C31"/>
    <mergeCell ref="B32:C32"/>
    <mergeCell ref="B25:C25"/>
    <mergeCell ref="B26:C26"/>
    <mergeCell ref="A59:A60"/>
    <mergeCell ref="B59:C59"/>
    <mergeCell ref="B60:C60"/>
    <mergeCell ref="B57:C57"/>
    <mergeCell ref="B37:C37"/>
    <mergeCell ref="A43:A44"/>
    <mergeCell ref="B44:C44"/>
    <mergeCell ref="B42:C42"/>
    <mergeCell ref="B43:C43"/>
    <mergeCell ref="A36:A37"/>
    <mergeCell ref="B36:C36"/>
    <mergeCell ref="A45:A51"/>
    <mergeCell ref="B45:B51"/>
    <mergeCell ref="A52:A53"/>
    <mergeCell ref="B53:C53"/>
    <mergeCell ref="B52:C52"/>
  </mergeCells>
  <phoneticPr fontId="1" type="noConversion"/>
  <hyperlinks>
    <hyperlink ref="G51" location="任務狀態!A1" display="連結" xr:uid="{6A3E929F-8397-4EE7-9DA7-F135959C7D7E}"/>
    <hyperlink ref="G52" location="應答!A1" display="連結" xr:uid="{DC4517AE-7CF1-428F-9B63-90702EFE4A7A}"/>
    <hyperlink ref="G13" location="應答!A1" display="連結" xr:uid="{7867BD0A-9F9A-4DC2-9AC1-2B285996D829}"/>
    <hyperlink ref="G59" location="task_return_msg!A1" display="連結" xr:uid="{5E604616-33C8-4B3B-A500-40EA9A349319}"/>
    <hyperlink ref="G60" location="task_return_msg!A1" display="連結" xr:uid="{5A42C712-16BE-42AE-BC55-F99117672025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1730-5E1C-4CD4-8F61-63AAA87E61D2}">
  <dimension ref="A1:A13"/>
  <sheetViews>
    <sheetView workbookViewId="0">
      <selection activeCell="C12" sqref="C12"/>
    </sheetView>
  </sheetViews>
  <sheetFormatPr defaultRowHeight="17" x14ac:dyDescent="0.4"/>
  <sheetData>
    <row r="1" spans="1:1" x14ac:dyDescent="0.4">
      <c r="A1" t="s">
        <v>3</v>
      </c>
    </row>
    <row r="2" spans="1:1" x14ac:dyDescent="0.4">
      <c r="A2" t="s">
        <v>266</v>
      </c>
    </row>
    <row r="3" spans="1:1" x14ac:dyDescent="0.4">
      <c r="A3" t="s">
        <v>267</v>
      </c>
    </row>
    <row r="4" spans="1:1" x14ac:dyDescent="0.4">
      <c r="A4" t="s">
        <v>268</v>
      </c>
    </row>
    <row r="5" spans="1:1" x14ac:dyDescent="0.4">
      <c r="A5" t="s">
        <v>269</v>
      </c>
    </row>
    <row r="6" spans="1:1" x14ac:dyDescent="0.4">
      <c r="A6" t="s">
        <v>270</v>
      </c>
    </row>
    <row r="7" spans="1:1" x14ac:dyDescent="0.4">
      <c r="A7" t="s">
        <v>271</v>
      </c>
    </row>
    <row r="8" spans="1:1" x14ac:dyDescent="0.4">
      <c r="A8" t="s">
        <v>272</v>
      </c>
    </row>
    <row r="9" spans="1:1" x14ac:dyDescent="0.4">
      <c r="A9" t="s">
        <v>273</v>
      </c>
    </row>
    <row r="10" spans="1:1" x14ac:dyDescent="0.4">
      <c r="A10" t="s">
        <v>274</v>
      </c>
    </row>
    <row r="11" spans="1:1" x14ac:dyDescent="0.4">
      <c r="A11" t="s">
        <v>275</v>
      </c>
    </row>
    <row r="12" spans="1:1" x14ac:dyDescent="0.4">
      <c r="A12" t="s">
        <v>276</v>
      </c>
    </row>
    <row r="13" spans="1:1" x14ac:dyDescent="0.4">
      <c r="A13" t="s">
        <v>277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7DE0-ACCF-4AD1-B0F9-EDDF0C955756}">
  <dimension ref="A1:C4"/>
  <sheetViews>
    <sheetView workbookViewId="0">
      <selection sqref="A1:C4"/>
    </sheetView>
  </sheetViews>
  <sheetFormatPr defaultRowHeight="15.5" x14ac:dyDescent="0.35"/>
  <cols>
    <col min="1" max="1" width="11.90625" style="17" customWidth="1"/>
    <col min="2" max="2" width="13.26953125" style="17" customWidth="1"/>
    <col min="3" max="3" width="17.90625" style="17" bestFit="1" customWidth="1"/>
    <col min="4" max="16384" width="8.7265625" style="17"/>
  </cols>
  <sheetData>
    <row r="1" spans="1:3" x14ac:dyDescent="0.35">
      <c r="A1" s="121" t="s">
        <v>182</v>
      </c>
      <c r="B1" s="122"/>
      <c r="C1" s="122"/>
    </row>
    <row r="2" spans="1:3" x14ac:dyDescent="0.35">
      <c r="A2" s="26" t="s">
        <v>183</v>
      </c>
      <c r="B2" s="26" t="s">
        <v>2</v>
      </c>
      <c r="C2" s="26" t="s">
        <v>67</v>
      </c>
    </row>
    <row r="3" spans="1:3" x14ac:dyDescent="0.35">
      <c r="A3" s="27" t="s">
        <v>184</v>
      </c>
      <c r="B3" s="27" t="s">
        <v>185</v>
      </c>
      <c r="C3" s="27"/>
    </row>
    <row r="4" spans="1:3" x14ac:dyDescent="0.35">
      <c r="A4" s="27" t="s">
        <v>186</v>
      </c>
      <c r="B4" s="27" t="s">
        <v>282</v>
      </c>
      <c r="C4" s="27" t="s">
        <v>187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FB71-7416-4D39-AC3D-6DC72D41AA1C}">
  <dimension ref="A1:F7"/>
  <sheetViews>
    <sheetView workbookViewId="0">
      <selection activeCell="F9" sqref="F9"/>
    </sheetView>
  </sheetViews>
  <sheetFormatPr defaultRowHeight="15.5" x14ac:dyDescent="0.4"/>
  <cols>
    <col min="1" max="1" width="12.36328125" style="28" bestFit="1" customWidth="1"/>
    <col min="2" max="2" width="7.90625" style="28" bestFit="1" customWidth="1"/>
    <col min="3" max="3" width="10.1796875" style="28" bestFit="1" customWidth="1"/>
    <col min="4" max="16384" width="8.7265625" style="28"/>
  </cols>
  <sheetData>
    <row r="1" spans="1:6" ht="20" customHeight="1" x14ac:dyDescent="0.4">
      <c r="A1" s="40" t="s">
        <v>129</v>
      </c>
      <c r="B1" s="40" t="s">
        <v>183</v>
      </c>
      <c r="C1" s="40" t="s">
        <v>130</v>
      </c>
    </row>
    <row r="2" spans="1:6" ht="24" customHeight="1" x14ac:dyDescent="0.4">
      <c r="A2" s="44" t="s">
        <v>200</v>
      </c>
      <c r="B2" s="44" t="s">
        <v>206</v>
      </c>
      <c r="C2" s="36"/>
      <c r="F2" s="45"/>
    </row>
    <row r="3" spans="1:6" ht="24" customHeight="1" x14ac:dyDescent="0.4">
      <c r="A3" s="44" t="s">
        <v>201</v>
      </c>
      <c r="B3" s="44" t="s">
        <v>207</v>
      </c>
      <c r="C3" s="36"/>
    </row>
    <row r="4" spans="1:6" ht="24" customHeight="1" x14ac:dyDescent="0.4">
      <c r="A4" s="44" t="s">
        <v>234</v>
      </c>
      <c r="B4" s="44" t="s">
        <v>280</v>
      </c>
      <c r="C4" s="36"/>
    </row>
    <row r="5" spans="1:6" ht="24" customHeight="1" x14ac:dyDescent="0.4">
      <c r="A5" s="36" t="s">
        <v>202</v>
      </c>
      <c r="B5" s="36" t="s">
        <v>208</v>
      </c>
      <c r="C5" s="36"/>
    </row>
    <row r="6" spans="1:6" ht="24" hidden="1" customHeight="1" x14ac:dyDescent="0.4">
      <c r="A6" s="36" t="s">
        <v>203</v>
      </c>
      <c r="B6" s="36" t="s">
        <v>209</v>
      </c>
      <c r="C6" s="36"/>
    </row>
    <row r="7" spans="1:6" ht="24" customHeight="1" x14ac:dyDescent="0.4">
      <c r="A7" s="36" t="s">
        <v>204</v>
      </c>
      <c r="B7" s="36" t="s">
        <v>210</v>
      </c>
      <c r="C7" s="3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5FC5-82E9-41ED-9E2C-F844D432DDC7}">
  <dimension ref="A1:C4"/>
  <sheetViews>
    <sheetView workbookViewId="0">
      <selection activeCell="I9" sqref="I9"/>
    </sheetView>
  </sheetViews>
  <sheetFormatPr defaultRowHeight="15.5" x14ac:dyDescent="0.4"/>
  <cols>
    <col min="1" max="1" width="12.36328125" style="28" bestFit="1" customWidth="1"/>
    <col min="2" max="2" width="8.81640625" style="28" bestFit="1" customWidth="1"/>
    <col min="3" max="3" width="17.90625" style="28" bestFit="1" customWidth="1"/>
    <col min="4" max="16384" width="8.7265625" style="28"/>
  </cols>
  <sheetData>
    <row r="1" spans="1:3" x14ac:dyDescent="0.35">
      <c r="A1" s="123" t="s">
        <v>182</v>
      </c>
      <c r="B1" s="123"/>
      <c r="C1" s="123"/>
    </row>
    <row r="2" spans="1:3" x14ac:dyDescent="0.35">
      <c r="A2" s="26" t="s">
        <v>183</v>
      </c>
      <c r="B2" s="26" t="s">
        <v>2</v>
      </c>
      <c r="C2" s="26" t="s">
        <v>67</v>
      </c>
    </row>
    <row r="3" spans="1:3" ht="77.5" x14ac:dyDescent="0.4">
      <c r="A3" s="36" t="s">
        <v>184</v>
      </c>
      <c r="B3" s="36" t="s">
        <v>185</v>
      </c>
      <c r="C3" s="98" t="s">
        <v>346</v>
      </c>
    </row>
    <row r="4" spans="1:3" ht="46.5" x14ac:dyDescent="0.4">
      <c r="A4" s="36" t="s">
        <v>186</v>
      </c>
      <c r="B4" s="36" t="s">
        <v>282</v>
      </c>
      <c r="C4" s="98" t="s">
        <v>353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EB56-23C1-4B48-B97D-B7FB08D0067A}">
  <dimension ref="A1:B9"/>
  <sheetViews>
    <sheetView workbookViewId="0">
      <selection activeCell="C11" sqref="C11"/>
    </sheetView>
  </sheetViews>
  <sheetFormatPr defaultRowHeight="17" x14ac:dyDescent="0.4"/>
  <cols>
    <col min="1" max="2" width="20.6328125" customWidth="1"/>
  </cols>
  <sheetData>
    <row r="1" spans="1:2" ht="20" customHeight="1" x14ac:dyDescent="0.4">
      <c r="A1" s="124" t="s">
        <v>196</v>
      </c>
      <c r="B1" s="125"/>
    </row>
    <row r="2" spans="1:2" ht="20" customHeight="1" x14ac:dyDescent="0.4">
      <c r="A2" s="29" t="s">
        <v>188</v>
      </c>
      <c r="B2" s="29" t="s">
        <v>189</v>
      </c>
    </row>
    <row r="3" spans="1:2" ht="20" customHeight="1" x14ac:dyDescent="0.4">
      <c r="A3" s="10" t="s">
        <v>248</v>
      </c>
      <c r="B3" s="27" t="s">
        <v>246</v>
      </c>
    </row>
    <row r="4" spans="1:2" ht="20" customHeight="1" x14ac:dyDescent="0.4">
      <c r="A4" s="10" t="s">
        <v>247</v>
      </c>
      <c r="B4" s="27" t="s">
        <v>281</v>
      </c>
    </row>
    <row r="5" spans="1:2" x14ac:dyDescent="0.4">
      <c r="A5" s="10" t="s">
        <v>283</v>
      </c>
      <c r="B5" s="27" t="s">
        <v>285</v>
      </c>
    </row>
    <row r="6" spans="1:2" x14ac:dyDescent="0.4">
      <c r="A6" s="10" t="s">
        <v>284</v>
      </c>
      <c r="B6" s="27" t="s">
        <v>286</v>
      </c>
    </row>
    <row r="7" spans="1:2" x14ac:dyDescent="0.4">
      <c r="B7" s="17"/>
    </row>
    <row r="8" spans="1:2" x14ac:dyDescent="0.4">
      <c r="B8" s="17"/>
    </row>
    <row r="9" spans="1:2" x14ac:dyDescent="0.4">
      <c r="A9" t="s">
        <v>249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5796-F8E0-4CA9-98C7-47464B759EDF}">
  <dimension ref="A1:L22"/>
  <sheetViews>
    <sheetView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D7" sqref="D7"/>
    </sheetView>
  </sheetViews>
  <sheetFormatPr defaultColWidth="8.7265625" defaultRowHeight="15.5" x14ac:dyDescent="0.4"/>
  <cols>
    <col min="1" max="1" width="12.08984375" style="28" bestFit="1" customWidth="1"/>
    <col min="2" max="2" width="30.90625" style="28" bestFit="1" customWidth="1"/>
    <col min="3" max="3" width="5.90625" style="39" bestFit="1" customWidth="1"/>
    <col min="4" max="4" width="7.08984375" style="39" bestFit="1" customWidth="1"/>
    <col min="5" max="5" width="5" style="39" bestFit="1" customWidth="1"/>
    <col min="6" max="6" width="9.08984375" style="39" bestFit="1" customWidth="1"/>
    <col min="7" max="7" width="5.81640625" style="28" bestFit="1" customWidth="1"/>
    <col min="8" max="8" width="7.81640625" style="28" bestFit="1" customWidth="1"/>
    <col min="9" max="9" width="10" style="28" bestFit="1" customWidth="1"/>
    <col min="10" max="10" width="7.81640625" style="28" bestFit="1" customWidth="1"/>
    <col min="11" max="11" width="8" style="28" bestFit="1" customWidth="1"/>
    <col min="12" max="12" width="25.08984375" style="28" bestFit="1" customWidth="1"/>
    <col min="13" max="16384" width="8.7265625" style="28"/>
  </cols>
  <sheetData>
    <row r="1" spans="1:12" ht="18.5" customHeight="1" x14ac:dyDescent="0.35">
      <c r="A1" s="126" t="s">
        <v>265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2" spans="1:12" x14ac:dyDescent="0.4">
      <c r="A2" s="29" t="s">
        <v>189</v>
      </c>
      <c r="B2" s="30" t="s">
        <v>190</v>
      </c>
      <c r="C2" s="29" t="s">
        <v>191</v>
      </c>
      <c r="D2" s="31" t="s">
        <v>192</v>
      </c>
      <c r="E2" s="29" t="s">
        <v>193</v>
      </c>
      <c r="F2" s="31" t="s">
        <v>192</v>
      </c>
      <c r="G2" s="32" t="s">
        <v>197</v>
      </c>
      <c r="H2" s="32" t="s">
        <v>198</v>
      </c>
      <c r="I2" s="32" t="s">
        <v>199</v>
      </c>
      <c r="J2" s="29" t="s">
        <v>194</v>
      </c>
      <c r="K2" s="29" t="s">
        <v>245</v>
      </c>
      <c r="L2" s="33" t="s">
        <v>195</v>
      </c>
    </row>
    <row r="3" spans="1:12" x14ac:dyDescent="0.35">
      <c r="A3" s="27" t="s">
        <v>281</v>
      </c>
      <c r="B3" s="27" t="str">
        <f t="shared" ref="B3:B11" si="0">A3&amp;"_"&amp;C3&amp;"-"&amp;D3&amp;"_"&amp;E3&amp;"-"&amp;F3</f>
        <v>multi_floor_4F-KIT_2F-WIP</v>
      </c>
      <c r="C3" s="34" t="s">
        <v>243</v>
      </c>
      <c r="D3" s="34" t="s">
        <v>252</v>
      </c>
      <c r="E3" s="34" t="s">
        <v>244</v>
      </c>
      <c r="F3" s="34" t="s">
        <v>253</v>
      </c>
      <c r="G3" s="35" t="s">
        <v>16</v>
      </c>
      <c r="H3" s="35"/>
      <c r="I3" s="35"/>
      <c r="J3" s="35"/>
      <c r="K3" s="35"/>
      <c r="L3" s="37"/>
    </row>
    <row r="4" spans="1:12" x14ac:dyDescent="0.35">
      <c r="A4" s="27" t="s">
        <v>281</v>
      </c>
      <c r="B4" s="27" t="str">
        <f t="shared" si="0"/>
        <v>multi_floor_2F-WIP_4F-KIT</v>
      </c>
      <c r="C4" s="34" t="s">
        <v>244</v>
      </c>
      <c r="D4" s="34" t="s">
        <v>253</v>
      </c>
      <c r="E4" s="34" t="s">
        <v>243</v>
      </c>
      <c r="F4" s="34" t="s">
        <v>252</v>
      </c>
      <c r="G4" s="35" t="s">
        <v>16</v>
      </c>
      <c r="H4" s="35"/>
      <c r="I4" s="35"/>
      <c r="J4" s="35"/>
      <c r="K4" s="35"/>
      <c r="L4" s="38"/>
    </row>
    <row r="5" spans="1:12" x14ac:dyDescent="0.35">
      <c r="A5" s="27" t="s">
        <v>281</v>
      </c>
      <c r="B5" s="27" t="str">
        <f t="shared" si="0"/>
        <v>multi_floor_2F-KIT_1F-KIT</v>
      </c>
      <c r="C5" s="34" t="s">
        <v>244</v>
      </c>
      <c r="D5" s="34" t="s">
        <v>252</v>
      </c>
      <c r="E5" s="38" t="s">
        <v>250</v>
      </c>
      <c r="F5" s="34" t="s">
        <v>252</v>
      </c>
      <c r="G5" s="35" t="s">
        <v>16</v>
      </c>
      <c r="H5" s="36"/>
      <c r="I5" s="36"/>
      <c r="J5" s="35"/>
      <c r="K5" s="35"/>
      <c r="L5" s="36"/>
    </row>
    <row r="6" spans="1:12" x14ac:dyDescent="0.35">
      <c r="A6" s="27" t="s">
        <v>281</v>
      </c>
      <c r="B6" s="27" t="str">
        <f t="shared" si="0"/>
        <v>multi_floor_1F-WIP_2F-KIT</v>
      </c>
      <c r="C6" s="38" t="s">
        <v>250</v>
      </c>
      <c r="D6" s="34" t="s">
        <v>253</v>
      </c>
      <c r="E6" s="34" t="s">
        <v>244</v>
      </c>
      <c r="F6" s="34" t="s">
        <v>252</v>
      </c>
      <c r="G6" s="35" t="s">
        <v>16</v>
      </c>
      <c r="H6" s="36"/>
      <c r="I6" s="36"/>
      <c r="J6" s="35"/>
      <c r="K6" s="35"/>
      <c r="L6" s="36"/>
    </row>
    <row r="7" spans="1:12" x14ac:dyDescent="0.35">
      <c r="A7" s="27" t="s">
        <v>281</v>
      </c>
      <c r="B7" s="27" t="str">
        <f t="shared" si="0"/>
        <v>multi_floor_1F-SMT6_3F-ASY</v>
      </c>
      <c r="C7" s="38" t="s">
        <v>250</v>
      </c>
      <c r="D7" s="34" t="s">
        <v>255</v>
      </c>
      <c r="E7" s="38" t="s">
        <v>251</v>
      </c>
      <c r="F7" s="38" t="s">
        <v>254</v>
      </c>
      <c r="G7" s="35" t="s">
        <v>16</v>
      </c>
      <c r="H7" s="36"/>
      <c r="I7" s="36"/>
      <c r="J7" s="36"/>
      <c r="K7" s="36"/>
      <c r="L7" s="36"/>
    </row>
    <row r="8" spans="1:12" x14ac:dyDescent="0.35">
      <c r="A8" s="27" t="s">
        <v>281</v>
      </c>
      <c r="B8" s="27" t="str">
        <f t="shared" si="0"/>
        <v>multi_floor_3F-ASY_1F-SMT</v>
      </c>
      <c r="C8" s="38" t="s">
        <v>251</v>
      </c>
      <c r="D8" s="38" t="s">
        <v>254</v>
      </c>
      <c r="E8" s="38" t="s">
        <v>250</v>
      </c>
      <c r="F8" s="34" t="s">
        <v>256</v>
      </c>
      <c r="G8" s="35" t="s">
        <v>16</v>
      </c>
      <c r="H8" s="36"/>
      <c r="I8" s="36"/>
      <c r="J8" s="36"/>
      <c r="K8" s="36"/>
      <c r="L8" s="36"/>
    </row>
    <row r="9" spans="1:12" x14ac:dyDescent="0.35">
      <c r="A9" s="27" t="s">
        <v>281</v>
      </c>
      <c r="B9" s="27" t="str">
        <f t="shared" si="0"/>
        <v>multi_floor_1F-KIT_4F-ASY</v>
      </c>
      <c r="C9" s="38" t="s">
        <v>250</v>
      </c>
      <c r="D9" s="34" t="s">
        <v>252</v>
      </c>
      <c r="E9" s="34" t="s">
        <v>243</v>
      </c>
      <c r="F9" s="38" t="s">
        <v>254</v>
      </c>
      <c r="G9" s="35" t="s">
        <v>16</v>
      </c>
      <c r="H9" s="36"/>
      <c r="I9" s="36"/>
      <c r="J9" s="36"/>
      <c r="K9" s="36"/>
      <c r="L9" s="36"/>
    </row>
    <row r="10" spans="1:12" x14ac:dyDescent="0.35">
      <c r="A10" s="27" t="s">
        <v>246</v>
      </c>
      <c r="B10" s="27" t="str">
        <f t="shared" si="0"/>
        <v>floor_2F-WIP_2F-SMT</v>
      </c>
      <c r="C10" s="34" t="s">
        <v>244</v>
      </c>
      <c r="D10" s="34" t="s">
        <v>253</v>
      </c>
      <c r="E10" s="34" t="s">
        <v>244</v>
      </c>
      <c r="F10" s="34" t="s">
        <v>256</v>
      </c>
      <c r="G10" s="35"/>
      <c r="H10" s="35"/>
      <c r="I10" s="35"/>
      <c r="J10" s="35"/>
      <c r="K10" s="35"/>
      <c r="L10" s="38"/>
    </row>
    <row r="11" spans="1:12" x14ac:dyDescent="0.35">
      <c r="A11" s="27" t="s">
        <v>246</v>
      </c>
      <c r="B11" s="27" t="str">
        <f t="shared" si="0"/>
        <v>floor_1F-WIP_1F-SMT1</v>
      </c>
      <c r="C11" s="38" t="s">
        <v>250</v>
      </c>
      <c r="D11" s="34" t="s">
        <v>253</v>
      </c>
      <c r="E11" s="38" t="s">
        <v>250</v>
      </c>
      <c r="F11" s="34" t="s">
        <v>257</v>
      </c>
      <c r="G11" s="35"/>
      <c r="H11" s="35"/>
      <c r="I11" s="35"/>
      <c r="J11" s="47"/>
      <c r="K11" s="35"/>
      <c r="L11" s="38"/>
    </row>
    <row r="12" spans="1:12" x14ac:dyDescent="0.35">
      <c r="A12" s="27" t="s">
        <v>246</v>
      </c>
      <c r="B12" s="27" t="str">
        <f t="shared" ref="B12:B19" si="1">A12&amp;"_"&amp;C12&amp;"-"&amp;D12&amp;"_"&amp;E12&amp;"-"&amp;F12</f>
        <v>floor_1F-WIP_1F-SMT2</v>
      </c>
      <c r="C12" s="38" t="s">
        <v>250</v>
      </c>
      <c r="D12" s="34" t="s">
        <v>253</v>
      </c>
      <c r="E12" s="38" t="s">
        <v>250</v>
      </c>
      <c r="F12" s="34" t="s">
        <v>258</v>
      </c>
      <c r="G12" s="35"/>
      <c r="H12" s="35"/>
      <c r="I12" s="35"/>
      <c r="J12" s="47"/>
      <c r="K12" s="35"/>
      <c r="L12" s="38"/>
    </row>
    <row r="13" spans="1:12" x14ac:dyDescent="0.35">
      <c r="A13" s="27" t="s">
        <v>246</v>
      </c>
      <c r="B13" s="27" t="str">
        <f t="shared" si="1"/>
        <v>floor_1F-WIP_1F-SMT3</v>
      </c>
      <c r="C13" s="38" t="s">
        <v>250</v>
      </c>
      <c r="D13" s="34" t="s">
        <v>253</v>
      </c>
      <c r="E13" s="38" t="s">
        <v>250</v>
      </c>
      <c r="F13" s="34" t="s">
        <v>259</v>
      </c>
      <c r="G13" s="35"/>
      <c r="H13" s="35"/>
      <c r="I13" s="35"/>
      <c r="J13" s="47"/>
      <c r="K13" s="35"/>
      <c r="L13" s="38"/>
    </row>
    <row r="14" spans="1:12" x14ac:dyDescent="0.35">
      <c r="A14" s="27" t="s">
        <v>246</v>
      </c>
      <c r="B14" s="27" t="str">
        <f t="shared" si="1"/>
        <v>floor_1F-WIP_1F-SMT4</v>
      </c>
      <c r="C14" s="38" t="s">
        <v>250</v>
      </c>
      <c r="D14" s="34" t="s">
        <v>253</v>
      </c>
      <c r="E14" s="38" t="s">
        <v>250</v>
      </c>
      <c r="F14" s="34" t="s">
        <v>260</v>
      </c>
      <c r="G14" s="35"/>
      <c r="H14" s="35"/>
      <c r="I14" s="35"/>
      <c r="J14" s="47"/>
      <c r="K14" s="35"/>
      <c r="L14" s="38"/>
    </row>
    <row r="15" spans="1:12" x14ac:dyDescent="0.35">
      <c r="A15" s="27" t="s">
        <v>246</v>
      </c>
      <c r="B15" s="27" t="str">
        <f t="shared" si="1"/>
        <v>floor_1F-WIP_1F-SMT5</v>
      </c>
      <c r="C15" s="38" t="s">
        <v>250</v>
      </c>
      <c r="D15" s="34" t="s">
        <v>253</v>
      </c>
      <c r="E15" s="38" t="s">
        <v>250</v>
      </c>
      <c r="F15" s="34" t="s">
        <v>261</v>
      </c>
      <c r="G15" s="35"/>
      <c r="H15" s="35"/>
      <c r="I15" s="35"/>
      <c r="J15" s="47"/>
      <c r="K15" s="35"/>
      <c r="L15" s="38"/>
    </row>
    <row r="16" spans="1:12" x14ac:dyDescent="0.35">
      <c r="A16" s="27" t="s">
        <v>246</v>
      </c>
      <c r="B16" s="27" t="str">
        <f t="shared" si="1"/>
        <v>floor_1F-SMT1_1F-WIP</v>
      </c>
      <c r="C16" s="38" t="s">
        <v>250</v>
      </c>
      <c r="D16" s="34" t="s">
        <v>257</v>
      </c>
      <c r="E16" s="38" t="s">
        <v>250</v>
      </c>
      <c r="F16" s="34" t="s">
        <v>253</v>
      </c>
      <c r="G16" s="35"/>
      <c r="H16" s="35"/>
      <c r="I16" s="35"/>
      <c r="J16" s="47"/>
      <c r="K16" s="35"/>
      <c r="L16" s="38"/>
    </row>
    <row r="17" spans="1:12" x14ac:dyDescent="0.35">
      <c r="A17" s="27" t="s">
        <v>246</v>
      </c>
      <c r="B17" s="27" t="str">
        <f t="shared" si="1"/>
        <v>floor_3F-ASY_3F-WIP</v>
      </c>
      <c r="C17" s="38" t="s">
        <v>251</v>
      </c>
      <c r="D17" s="38" t="s">
        <v>254</v>
      </c>
      <c r="E17" s="38" t="s">
        <v>251</v>
      </c>
      <c r="F17" s="34" t="s">
        <v>253</v>
      </c>
      <c r="G17" s="35"/>
      <c r="H17" s="35"/>
      <c r="I17" s="35"/>
      <c r="J17" s="47"/>
      <c r="K17" s="35"/>
      <c r="L17" s="38"/>
    </row>
    <row r="18" spans="1:12" x14ac:dyDescent="0.35">
      <c r="A18" s="27" t="s">
        <v>246</v>
      </c>
      <c r="B18" s="27" t="str">
        <f t="shared" si="1"/>
        <v>floor_3F-WIP_3F-ASY</v>
      </c>
      <c r="C18" s="38" t="s">
        <v>251</v>
      </c>
      <c r="D18" s="34" t="s">
        <v>253</v>
      </c>
      <c r="E18" s="38" t="s">
        <v>251</v>
      </c>
      <c r="F18" s="38" t="s">
        <v>254</v>
      </c>
      <c r="G18" s="35"/>
      <c r="H18" s="35"/>
      <c r="I18" s="35"/>
      <c r="J18" s="47"/>
      <c r="K18" s="35"/>
      <c r="L18" s="38"/>
    </row>
    <row r="19" spans="1:12" x14ac:dyDescent="0.35">
      <c r="A19" s="27" t="s">
        <v>246</v>
      </c>
      <c r="B19" s="27" t="str">
        <f t="shared" si="1"/>
        <v>floor_1F-WIP_1F-WIP</v>
      </c>
      <c r="C19" s="38" t="s">
        <v>250</v>
      </c>
      <c r="D19" s="34" t="s">
        <v>253</v>
      </c>
      <c r="E19" s="38" t="s">
        <v>250</v>
      </c>
      <c r="F19" s="34" t="s">
        <v>253</v>
      </c>
      <c r="G19" s="35"/>
      <c r="H19" s="35"/>
      <c r="I19" s="35"/>
      <c r="J19" s="47"/>
      <c r="K19" s="35"/>
      <c r="L19" s="38" t="s">
        <v>262</v>
      </c>
    </row>
    <row r="20" spans="1:12" x14ac:dyDescent="0.35">
      <c r="A20" s="27" t="s">
        <v>246</v>
      </c>
      <c r="B20" s="27" t="str">
        <f t="shared" ref="B20" si="2">A20&amp;"_"&amp;C20&amp;"-"&amp;D20&amp;"_"&amp;E20&amp;"-"&amp;F20</f>
        <v>floor_1F-WIP_1F-WIP-1</v>
      </c>
      <c r="C20" s="38" t="s">
        <v>250</v>
      </c>
      <c r="D20" s="34" t="s">
        <v>253</v>
      </c>
      <c r="E20" s="38" t="s">
        <v>250</v>
      </c>
      <c r="F20" s="34" t="s">
        <v>263</v>
      </c>
      <c r="G20" s="35"/>
      <c r="H20" s="35"/>
      <c r="I20" s="35"/>
      <c r="J20" s="47"/>
      <c r="K20" s="35"/>
      <c r="L20" s="38" t="s">
        <v>262</v>
      </c>
    </row>
    <row r="21" spans="1:12" x14ac:dyDescent="0.35">
      <c r="A21" s="27" t="s">
        <v>246</v>
      </c>
      <c r="B21" s="27" t="str">
        <f t="shared" ref="B21:B22" si="3">A21&amp;"_"&amp;C21&amp;"-"&amp;D21&amp;"_"&amp;E21&amp;"-"&amp;F21</f>
        <v>floor_1F-WIP-1_1F-WIP-2</v>
      </c>
      <c r="C21" s="38" t="s">
        <v>250</v>
      </c>
      <c r="D21" s="34" t="s">
        <v>263</v>
      </c>
      <c r="E21" s="38" t="s">
        <v>250</v>
      </c>
      <c r="F21" s="34" t="s">
        <v>264</v>
      </c>
      <c r="G21" s="35"/>
      <c r="H21" s="35"/>
      <c r="I21" s="35"/>
      <c r="J21" s="47"/>
      <c r="K21" s="35"/>
      <c r="L21" s="38" t="s">
        <v>262</v>
      </c>
    </row>
    <row r="22" spans="1:12" x14ac:dyDescent="0.35">
      <c r="A22" s="27" t="s">
        <v>287</v>
      </c>
      <c r="B22" s="27" t="str">
        <f t="shared" si="3"/>
        <v>inbound_4F-EWHE_4F-EWHW</v>
      </c>
      <c r="C22" s="38" t="s">
        <v>243</v>
      </c>
      <c r="D22" s="34" t="s">
        <v>289</v>
      </c>
      <c r="E22" s="38" t="s">
        <v>243</v>
      </c>
      <c r="F22" s="34" t="s">
        <v>288</v>
      </c>
      <c r="G22" s="35"/>
      <c r="H22" s="35"/>
      <c r="I22" s="35"/>
      <c r="J22" s="47"/>
      <c r="K22" s="35"/>
      <c r="L22" s="38"/>
    </row>
  </sheetData>
  <mergeCells count="1">
    <mergeCell ref="A1:L1"/>
  </mergeCells>
  <phoneticPr fontId="1" type="noConversion"/>
  <conditionalFormatting sqref="B23:B1048576 B1:B19">
    <cfRule type="duplicateValues" dxfId="3" priority="6"/>
  </conditionalFormatting>
  <conditionalFormatting sqref="B20">
    <cfRule type="duplicateValues" dxfId="2" priority="5"/>
  </conditionalFormatting>
  <conditionalFormatting sqref="B21">
    <cfRule type="duplicateValues" dxfId="1" priority="4"/>
  </conditionalFormatting>
  <conditionalFormatting sqref="B22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0271-DF08-47C7-BBCD-F3E9A9160709}">
  <dimension ref="A1:D9"/>
  <sheetViews>
    <sheetView workbookViewId="0">
      <selection activeCell="B3" sqref="B3"/>
    </sheetView>
  </sheetViews>
  <sheetFormatPr defaultRowHeight="15.5" x14ac:dyDescent="0.35"/>
  <cols>
    <col min="1" max="1" width="8.7265625" style="16"/>
    <col min="2" max="2" width="25.6328125" style="17" bestFit="1" customWidth="1"/>
    <col min="3" max="3" width="35.08984375" style="17" customWidth="1"/>
    <col min="4" max="4" width="17.6328125" style="17" customWidth="1"/>
    <col min="5" max="16384" width="8.7265625" style="17"/>
  </cols>
  <sheetData>
    <row r="1" spans="1:4" x14ac:dyDescent="0.35">
      <c r="A1" s="19" t="s">
        <v>152</v>
      </c>
      <c r="B1" s="20" t="s">
        <v>132</v>
      </c>
      <c r="C1" s="20" t="s">
        <v>133</v>
      </c>
      <c r="D1" s="20" t="s">
        <v>136</v>
      </c>
    </row>
    <row r="2" spans="1:4" x14ac:dyDescent="0.35">
      <c r="A2" s="16">
        <v>1</v>
      </c>
      <c r="B2" s="17" t="s">
        <v>135</v>
      </c>
      <c r="C2" s="17" t="s">
        <v>137</v>
      </c>
      <c r="D2" s="17" t="s">
        <v>138</v>
      </c>
    </row>
    <row r="3" spans="1:4" x14ac:dyDescent="0.35">
      <c r="A3" s="16">
        <v>2</v>
      </c>
      <c r="B3" s="17" t="s">
        <v>140</v>
      </c>
      <c r="C3" s="17" t="s">
        <v>139</v>
      </c>
      <c r="D3" s="17" t="s">
        <v>138</v>
      </c>
    </row>
    <row r="4" spans="1:4" x14ac:dyDescent="0.35">
      <c r="A4" s="16">
        <v>3</v>
      </c>
      <c r="B4" s="17" t="s">
        <v>143</v>
      </c>
      <c r="C4" s="17" t="s">
        <v>141</v>
      </c>
      <c r="D4" s="18" t="s">
        <v>142</v>
      </c>
    </row>
    <row r="5" spans="1:4" x14ac:dyDescent="0.35">
      <c r="A5" s="16">
        <v>4</v>
      </c>
      <c r="B5" s="17" t="s">
        <v>145</v>
      </c>
      <c r="C5" s="17" t="s">
        <v>154</v>
      </c>
      <c r="D5" s="17" t="s">
        <v>138</v>
      </c>
    </row>
    <row r="6" spans="1:4" x14ac:dyDescent="0.35">
      <c r="A6" s="16">
        <v>5</v>
      </c>
      <c r="B6" s="17" t="s">
        <v>159</v>
      </c>
      <c r="C6" s="17" t="s">
        <v>155</v>
      </c>
      <c r="D6" s="17" t="s">
        <v>138</v>
      </c>
    </row>
    <row r="7" spans="1:4" x14ac:dyDescent="0.35">
      <c r="A7" s="16">
        <v>6</v>
      </c>
      <c r="B7" s="17" t="s">
        <v>160</v>
      </c>
      <c r="C7" s="17" t="s">
        <v>156</v>
      </c>
      <c r="D7" s="17" t="s">
        <v>138</v>
      </c>
    </row>
    <row r="8" spans="1:4" x14ac:dyDescent="0.35">
      <c r="A8" s="16">
        <v>7</v>
      </c>
      <c r="B8" s="17" t="s">
        <v>161</v>
      </c>
      <c r="C8" s="17" t="s">
        <v>157</v>
      </c>
      <c r="D8" s="17" t="s">
        <v>153</v>
      </c>
    </row>
    <row r="9" spans="1:4" x14ac:dyDescent="0.35">
      <c r="A9" s="16">
        <v>8</v>
      </c>
      <c r="B9" s="17" t="s">
        <v>162</v>
      </c>
      <c r="C9" s="17" t="s">
        <v>158</v>
      </c>
      <c r="D9" s="17" t="s">
        <v>153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6A9C-0F67-43B7-8FAE-60A0BFF2CCDB}">
  <dimension ref="A1:D11"/>
  <sheetViews>
    <sheetView workbookViewId="0">
      <selection activeCell="B4" sqref="B4"/>
    </sheetView>
  </sheetViews>
  <sheetFormatPr defaultRowHeight="17" x14ac:dyDescent="0.4"/>
  <cols>
    <col min="1" max="1" width="7.81640625" bestFit="1" customWidth="1"/>
    <col min="2" max="2" width="28.54296875" customWidth="1"/>
    <col min="3" max="3" width="40.81640625" customWidth="1"/>
    <col min="4" max="4" width="14.54296875" customWidth="1"/>
  </cols>
  <sheetData>
    <row r="1" spans="1:4" ht="17.5" thickBot="1" x14ac:dyDescent="0.45">
      <c r="A1" s="21" t="s">
        <v>163</v>
      </c>
      <c r="B1" s="22" t="s">
        <v>164</v>
      </c>
      <c r="C1" s="22" t="s">
        <v>165</v>
      </c>
      <c r="D1" s="23" t="s">
        <v>166</v>
      </c>
    </row>
    <row r="2" spans="1:4" ht="17.5" thickBot="1" x14ac:dyDescent="0.45">
      <c r="A2" s="127" t="s">
        <v>167</v>
      </c>
      <c r="B2" s="24" t="s">
        <v>134</v>
      </c>
      <c r="C2" s="25" t="s">
        <v>168</v>
      </c>
      <c r="D2" s="25" t="s">
        <v>169</v>
      </c>
    </row>
    <row r="3" spans="1:4" ht="17.5" thickBot="1" x14ac:dyDescent="0.45">
      <c r="A3" s="128"/>
      <c r="B3" s="24" t="s">
        <v>140</v>
      </c>
      <c r="C3" s="25" t="s">
        <v>170</v>
      </c>
      <c r="D3" s="25" t="s">
        <v>169</v>
      </c>
    </row>
    <row r="4" spans="1:4" ht="17.5" thickBot="1" x14ac:dyDescent="0.45">
      <c r="A4" s="128"/>
      <c r="B4" s="24" t="s">
        <v>143</v>
      </c>
      <c r="C4" s="25" t="s">
        <v>171</v>
      </c>
      <c r="D4" s="25" t="s">
        <v>169</v>
      </c>
    </row>
    <row r="5" spans="1:4" ht="17.5" thickBot="1" x14ac:dyDescent="0.45">
      <c r="A5" s="128"/>
      <c r="B5" s="24" t="s">
        <v>144</v>
      </c>
      <c r="C5" s="25" t="s">
        <v>172</v>
      </c>
      <c r="D5" s="25" t="s">
        <v>169</v>
      </c>
    </row>
    <row r="6" spans="1:4" ht="17.5" thickBot="1" x14ac:dyDescent="0.45">
      <c r="A6" s="128"/>
      <c r="B6" s="24" t="s">
        <v>173</v>
      </c>
      <c r="C6" s="25" t="s">
        <v>174</v>
      </c>
      <c r="D6" s="25" t="s">
        <v>169</v>
      </c>
    </row>
    <row r="7" spans="1:4" ht="17.5" thickBot="1" x14ac:dyDescent="0.45">
      <c r="A7" s="129"/>
      <c r="B7" s="24" t="s">
        <v>175</v>
      </c>
      <c r="C7" s="25" t="s">
        <v>176</v>
      </c>
      <c r="D7" s="25" t="s">
        <v>169</v>
      </c>
    </row>
    <row r="8" spans="1:4" ht="17.5" thickBot="1" x14ac:dyDescent="0.45">
      <c r="A8" s="127" t="s">
        <v>177</v>
      </c>
      <c r="B8" s="24" t="s">
        <v>146</v>
      </c>
      <c r="C8" s="25" t="s">
        <v>178</v>
      </c>
      <c r="D8" s="25" t="s">
        <v>179</v>
      </c>
    </row>
    <row r="9" spans="1:4" ht="17.5" thickBot="1" x14ac:dyDescent="0.45">
      <c r="A9" s="128"/>
      <c r="B9" s="24" t="s">
        <v>147</v>
      </c>
      <c r="C9" s="25" t="s">
        <v>180</v>
      </c>
      <c r="D9" s="25" t="s">
        <v>179</v>
      </c>
    </row>
    <row r="10" spans="1:4" ht="17.5" thickBot="1" x14ac:dyDescent="0.45">
      <c r="A10" s="128"/>
      <c r="B10" s="24" t="s">
        <v>148</v>
      </c>
      <c r="C10" s="25" t="s">
        <v>149</v>
      </c>
      <c r="D10" s="25" t="s">
        <v>179</v>
      </c>
    </row>
    <row r="11" spans="1:4" ht="17.5" thickBot="1" x14ac:dyDescent="0.45">
      <c r="A11" s="129"/>
      <c r="B11" s="24" t="s">
        <v>151</v>
      </c>
      <c r="C11" s="25" t="s">
        <v>150</v>
      </c>
      <c r="D11" s="25" t="s">
        <v>179</v>
      </c>
    </row>
  </sheetData>
  <mergeCells count="2">
    <mergeCell ref="A2:A7"/>
    <mergeCell ref="A8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Function</vt:lpstr>
      <vt:lpstr>Function Spec</vt:lpstr>
      <vt:lpstr>A01-B01範本</vt:lpstr>
      <vt:lpstr>應答</vt:lpstr>
      <vt:lpstr>任務狀態</vt:lpstr>
      <vt:lpstr>task_return_msg</vt:lpstr>
      <vt:lpstr>Job_Name(任務分類)</vt:lpstr>
      <vt:lpstr>任務設定</vt:lpstr>
      <vt:lpstr>燦泰對接RCS API</vt:lpstr>
      <vt:lpstr>API分類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C06295</dc:creator>
  <cp:lastModifiedBy>王俊喬</cp:lastModifiedBy>
  <dcterms:created xsi:type="dcterms:W3CDTF">2021-10-22T07:18:00Z</dcterms:created>
  <dcterms:modified xsi:type="dcterms:W3CDTF">2022-09-02T03:58:08Z</dcterms:modified>
</cp:coreProperties>
</file>